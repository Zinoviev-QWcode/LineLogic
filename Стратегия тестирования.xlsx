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-105" yWindow="-105" windowWidth="20730" windowHeight="11760" tabRatio="397" firstSheet="1" activeTab="5"/>
  </bookViews>
  <sheets>
    <sheet name="Тест-план" sheetId="1" r:id="rId1"/>
    <sheet name="Чек-лист" sheetId="7" r:id="rId2"/>
    <sheet name="Дефект" sheetId="11" r:id="rId3"/>
    <sheet name="Тест-кейс 1" sheetId="3" r:id="rId4"/>
    <sheet name="Тест-кейс 2" sheetId="8" r:id="rId5"/>
    <sheet name="Тест-кейс 3" sheetId="9" r:id="rId6"/>
    <sheet name="Тест-кейс 4" sheetId="10" r:id="rId7"/>
  </sheets>
  <definedNames>
    <definedName name="_xlnm._FilterDatabase" localSheetId="1" hidden="1">'Чек-лист'!$A$2:$E$19</definedName>
  </definedNames>
  <calcPr calcId="145621"/>
</workbook>
</file>

<file path=xl/calcChain.xml><?xml version="1.0" encoding="utf-8"?>
<calcChain xmlns="http://schemas.openxmlformats.org/spreadsheetml/2006/main">
  <c r="H11" i="3" l="1"/>
  <c r="A11" i="3"/>
  <c r="A28" i="3"/>
  <c r="A17" i="3"/>
  <c r="A19" i="3"/>
  <c r="A21" i="3"/>
  <c r="A23" i="3"/>
  <c r="A25" i="3"/>
  <c r="D19" i="1"/>
  <c r="A14" i="3" l="1"/>
  <c r="F11" i="3"/>
  <c r="A15" i="3" l="1"/>
</calcChain>
</file>

<file path=xl/sharedStrings.xml><?xml version="1.0" encoding="utf-8"?>
<sst xmlns="http://schemas.openxmlformats.org/spreadsheetml/2006/main" count="422" uniqueCount="218">
  <si>
    <t>Цели доработки</t>
  </si>
  <si>
    <t>1 - самый высокий приоритет</t>
  </si>
  <si>
    <t>Область функционала</t>
  </si>
  <si>
    <t>Стратегия тестирования</t>
  </si>
  <si>
    <t>Статус</t>
  </si>
  <si>
    <t>Разработчик</t>
  </si>
  <si>
    <t>Тестировщик</t>
  </si>
  <si>
    <t>Итого</t>
  </si>
  <si>
    <t>Наименование:</t>
  </si>
  <si>
    <t>№:</t>
  </si>
  <si>
    <t>Описание:</t>
  </si>
  <si>
    <t>Статус:</t>
  </si>
  <si>
    <t>Дефекты №:</t>
  </si>
  <si>
    <t>Тестировщик:</t>
  </si>
  <si>
    <t>Дата:</t>
  </si>
  <si>
    <t>Начальные условия:</t>
  </si>
  <si>
    <t>шагов</t>
  </si>
  <si>
    <t>Число шагов по статусам:</t>
  </si>
  <si>
    <t>% Complete:</t>
  </si>
  <si>
    <t>Шаг</t>
  </si>
  <si>
    <t>Действие</t>
  </si>
  <si>
    <t>Ожидаемый результат</t>
  </si>
  <si>
    <t>Pass</t>
  </si>
  <si>
    <t>Fail</t>
  </si>
  <si>
    <t>N/A</t>
  </si>
  <si>
    <t>Фактический результат</t>
  </si>
  <si>
    <t>№ дефекта</t>
  </si>
  <si>
    <t>x</t>
  </si>
  <si>
    <t>Приложение запустилось, появилось окно аутентификации</t>
  </si>
  <si>
    <t>Ввод данных в поля приложения возможен</t>
  </si>
  <si>
    <t>Запустить приложение</t>
  </si>
  <si>
    <t>Важность</t>
  </si>
  <si>
    <t xml:space="preserve">Тест-план по системному тестированию </t>
  </si>
  <si>
    <t>X</t>
  </si>
  <si>
    <t>Вход в аккаунт</t>
  </si>
  <si>
    <t>Выполнен</t>
  </si>
  <si>
    <t>Тест-кейс 2</t>
  </si>
  <si>
    <t>High</t>
  </si>
  <si>
    <t>Тест-кейс 3</t>
  </si>
  <si>
    <t>Тест-кейс 4</t>
  </si>
  <si>
    <t>Название</t>
  </si>
  <si>
    <t>№ тест-кейса</t>
  </si>
  <si>
    <t>Проект</t>
  </si>
  <si>
    <t>Компонент</t>
  </si>
  <si>
    <t>Номер версии</t>
  </si>
  <si>
    <t>Важность:</t>
  </si>
  <si>
    <t>Critical</t>
  </si>
  <si>
    <t>Приоритет:</t>
  </si>
  <si>
    <t>Medium</t>
  </si>
  <si>
    <t>Blocker</t>
  </si>
  <si>
    <t>Opened</t>
  </si>
  <si>
    <t>In progress</t>
  </si>
  <si>
    <t>Major</t>
  </si>
  <si>
    <t>Low</t>
  </si>
  <si>
    <t>Retest</t>
  </si>
  <si>
    <t>Minor</t>
  </si>
  <si>
    <t>Fixed</t>
  </si>
  <si>
    <t>Trivial</t>
  </si>
  <si>
    <t>Closed</t>
  </si>
  <si>
    <t>Назначен на</t>
  </si>
  <si>
    <t>Автор</t>
  </si>
  <si>
    <t>Описание</t>
  </si>
  <si>
    <t>In Progress</t>
  </si>
  <si>
    <t>Обеспечение корректного функционирования системы электронной очереди</t>
  </si>
  <si>
    <r>
      <rPr>
        <b/>
        <sz val="11"/>
        <color rgb="FF000000"/>
        <rFont val="Calibri"/>
        <family val="2"/>
        <charset val="204"/>
      </rPr>
      <t>Важен критерий:</t>
    </r>
    <r>
      <rPr>
        <sz val="11"/>
        <color rgb="FF000000"/>
        <rFont val="Calibri"/>
      </rPr>
      <t xml:space="preserve"> задукоментированы все дефекты, исправлены все дефекты с приоритетом выше Critical</t>
    </r>
  </si>
  <si>
    <t>Регистрация аккаунта в системе</t>
  </si>
  <si>
    <t>Аутентификация пользователя</t>
  </si>
  <si>
    <t xml:space="preserve">Выход из системы </t>
  </si>
  <si>
    <t>Подключение к существующей очереди</t>
  </si>
  <si>
    <t>Создание новой очереди</t>
  </si>
  <si>
    <t>Выход из очереди</t>
  </si>
  <si>
    <t>Ввод корректных данных, некорректного адреса электронной почты, неверного пароля при подтверждении, существующего логина</t>
  </si>
  <si>
    <t>Ввод корректных данных, несуществующего логина, неверного пароля</t>
  </si>
  <si>
    <t>Проверить функцию выхода из аккаунта пользователя</t>
  </si>
  <si>
    <t>Ввести существующий ID очереди, короткий ID очереди, несуществующий ID очереди</t>
  </si>
  <si>
    <t>Перейти в окно создания новой очереди, ввести название очереди длиной более 3 символов, ввести название очереди длиной менее 3 символов</t>
  </si>
  <si>
    <t>Отмена создания новой очереди</t>
  </si>
  <si>
    <t>Перейти в окно создания новой очереди, ввести название очереди, отменить создание очереди</t>
  </si>
  <si>
    <t>Подключиться к существующей очереди с нескольких клиентов, убедиться в достоверной информации в окне очереди: ID очереди, название очереди, место пользователя в очереди</t>
  </si>
  <si>
    <t>Подключить к существующей очереди с нескольких клиентов, выйти из очереди на одном из клиентов. Убедиться в изменении мест остальных клиентов, подключенных к очереди</t>
  </si>
  <si>
    <t>Проверка информации очереди</t>
  </si>
  <si>
    <t>Отслеживание статистики очереди</t>
  </si>
  <si>
    <t>Подключиться к существующей очереди, выйти из очереди</t>
  </si>
  <si>
    <t>Приоритет</t>
  </si>
  <si>
    <t>Время (h)</t>
  </si>
  <si>
    <t>Конев Владимир</t>
  </si>
  <si>
    <t>Шульгин Владислав</t>
  </si>
  <si>
    <t>Смирнов Андрей</t>
  </si>
  <si>
    <t>Зиновьев Сергей</t>
  </si>
  <si>
    <t>Тест-кейс для проверки корректности работы регистрации и авторизации в приложении</t>
  </si>
  <si>
    <t>Тест-кейсы</t>
  </si>
  <si>
    <t>Результат</t>
  </si>
  <si>
    <t>ДЕФЕКТ</t>
  </si>
  <si>
    <t>Объекты тестирования (Тест-кейс)</t>
  </si>
  <si>
    <t>Входные данные</t>
  </si>
  <si>
    <t>Ожидаемые выходные данные</t>
  </si>
  <si>
    <t>Фактический Результат (Выходные данные)</t>
  </si>
  <si>
    <t>№</t>
  </si>
  <si>
    <t>Наименование</t>
  </si>
  <si>
    <t>Регистрация с существующим логином</t>
  </si>
  <si>
    <t>Регистрация с коротким паролем</t>
  </si>
  <si>
    <t>minor</t>
  </si>
  <si>
    <t>Регистрация нового пользователя</t>
  </si>
  <si>
    <t>Добавление информации о пользователе в  БД, переход на экран подключения/создания очереди</t>
  </si>
  <si>
    <t>Login: user12345678, Nickname: ThisIsMyName, Password: pass1234567, Check Pass. : pass1234567, Email: user@mail.ru</t>
  </si>
  <si>
    <t>Сообщение об ошибке: Пользователь с данным логином уже существует</t>
  </si>
  <si>
    <t>Регистрация с некорректным форматом электронной почты</t>
  </si>
  <si>
    <t>Login: NewUser, Nickname: newUser, Password: ok, Check Pass. : ok, Email: testmail@gmail.com</t>
  </si>
  <si>
    <t>Login: NewUser, Nickname: newUser, Password: qwerty12345, Check Pass. : qwerty12345, Email: testmail</t>
  </si>
  <si>
    <t>Регистрация  с несовпадающими паролями</t>
  </si>
  <si>
    <t>Login: NewUser, Nickname: newUser, Password: qwerty12345, Check Pass. : pass123, Email: testmail@mail.ru</t>
  </si>
  <si>
    <t>Вход в аккаунт уже существующего пользователя</t>
  </si>
  <si>
    <t>Вход в аккаунт уже существующего пользователя c неверным паролем</t>
  </si>
  <si>
    <t>Попытка входа в аккаунт уже существующего пользователя с неверным логином</t>
  </si>
  <si>
    <t>Подключение к очереди</t>
  </si>
  <si>
    <t>Подключение к очереди нескольких клинетов</t>
  </si>
  <si>
    <t>Выход из очереди, в которой присутсвуют другие клиенты</t>
  </si>
  <si>
    <t>Выйти из аккаунта пользователя</t>
  </si>
  <si>
    <t>Login: NewUser, Password: qwerty12345</t>
  </si>
  <si>
    <t>Login: NewUser, Password: qwerty6666</t>
  </si>
  <si>
    <t>Login: unknownUser, Password: qwerty12345</t>
  </si>
  <si>
    <t>Нажатие на кнопку "Log Out"</t>
  </si>
  <si>
    <t>Ввести верный ID. Нажать "GO"</t>
  </si>
  <si>
    <t>Ввести некорректный ID. Нажать "GO"</t>
  </si>
  <si>
    <t>Нажать "Create a new queue". Название очереди: FirstQueue. Нажать "Create".</t>
  </si>
  <si>
    <t>Нажать "Create a new queue". Название очереди: Q. Нажать "Create".</t>
  </si>
  <si>
    <t>Создание новой очереди c коротким названием</t>
  </si>
  <si>
    <t>Нажать "Create a new queue". Название очереди: TestName. Нажать "Cancel". Вновь перейти к созданию очереди</t>
  </si>
  <si>
    <t>Подключиться к очереди. Нажать "Leave"</t>
  </si>
  <si>
    <t>Подключить к одной очереди 3 клиента. Проверить информацию на экране - название очереди, ID, место в очереди</t>
  </si>
  <si>
    <t>Подключить к одной очереди 3 клиента. Отключить одного клиента от очереди. Проверить информацию на экране - название очереди, ID, место в очереди у двух оставшихся клиентов</t>
  </si>
  <si>
    <t>Успешная авторизация. Переход на экран подключения/создания очереди</t>
  </si>
  <si>
    <t>Сообщение об ошибке: неверный пароль</t>
  </si>
  <si>
    <t>Сообщение об ошибке: пользователя с таким логином не существует</t>
  </si>
  <si>
    <t>Успешный выход из аккаунта пользователя. Переход на окно авторизации</t>
  </si>
  <si>
    <t>Добавлениие информации в БД о подключенном пользователе. Переход на экран с информацией об очереди</t>
  </si>
  <si>
    <t>Сообщение об ошибке: Очереди с данным ID не существует.</t>
  </si>
  <si>
    <t>Информация об очереди добавлена в БД. Переход в созданную очередь</t>
  </si>
  <si>
    <t>Заблокированная кнопка "Create"</t>
  </si>
  <si>
    <t>Поле Название очереди должно быть очищено после отмены создания очереди</t>
  </si>
  <si>
    <t xml:space="preserve">Отключение пользователя от очереди. Переход к окну Hub. </t>
  </si>
  <si>
    <t>Все 3 клиента успешно подключены к одной очереди. Отображаются название очереди, ее ID и место пользователя в данной очереди.</t>
  </si>
  <si>
    <t>Успешное отключение одного из 3х пользователей. У оставшихся пользователей должна измениться позиция в очереди.</t>
  </si>
  <si>
    <t>Сервер доступен и работает корректно</t>
  </si>
  <si>
    <t>Login: existingLogin, Nickname: ItsJustaName, Password: qwerty2233, Check Pass. : qwerty2233, Email: testmail@gmail.com</t>
  </si>
  <si>
    <t>На странице регистрации ввести  Login: user12345678, Nickname: ThisIsMyName, Password: pass1234567, Check Pass. : pass1234567, Email: user@mail.ru</t>
  </si>
  <si>
    <t>Нажать кнопку "Reg In"</t>
  </si>
  <si>
    <t>Кнопка нажалась. В БД записана информация о новом пользователе. Открылось окно Hub.</t>
  </si>
  <si>
    <t>На странице регистрации ввести Login: existingLogin, Nickname: ItsJustaName, Password: qwerty2233, Check Pass. : qwerty2233, Email: testmail@gmail.com</t>
  </si>
  <si>
    <t>х</t>
  </si>
  <si>
    <t>Сообщение об ошибке: The user cant be registered</t>
  </si>
  <si>
    <t>На странице регистрации ввести Login: NewUser, Nickname: newUser, Password: ok, Check Pass.: ok, Email: testmail@gmail.com</t>
  </si>
  <si>
    <t>Кнопка не активна</t>
  </si>
  <si>
    <t>Кнопка регистрации не активна</t>
  </si>
  <si>
    <t>На странице регистрации ввести Login: NewUser, Nickname: newUser, Password: qwerty12345, Check Pass. : qwerty12345, Email: testmail</t>
  </si>
  <si>
    <t>Кнопка нажалась. Пользователь должен получить уведомление об ошибке - пользовтаель с таким логином уже существует. Поля очистились</t>
  </si>
  <si>
    <t>Кнопка нажалась. Пользователь получил ошибку "The user cant be registered". Поля очистились</t>
  </si>
  <si>
    <t>Кнопка нажалась. Информация о пользователе записана в БД.</t>
  </si>
  <si>
    <t>Кнопка нажалась. Прошла успешная регистрация</t>
  </si>
  <si>
    <t>На странице регистрации ввести Login: NewUser, Nickname: newUser, Password: qwerty12345, Check Pass. : pass123, Email: testmail@mail.ru</t>
  </si>
  <si>
    <t>На странице авторизации ввести Login: NewUser, Password: qwerty12345</t>
  </si>
  <si>
    <t>Нажать кнопку "Log In"</t>
  </si>
  <si>
    <t>Успешный вход в систему. Переход в Hub</t>
  </si>
  <si>
    <t>Отсутствует пользователь с логином user12345678 и NewUser</t>
  </si>
  <si>
    <t>Ввести на странице авторизации Login: NewUser, Password: qwerty6666</t>
  </si>
  <si>
    <t>Сообщение о неверном пароле</t>
  </si>
  <si>
    <t>На странице авторизации ввести Login: unknownUser, Password: qwerty12345</t>
  </si>
  <si>
    <t>Сообщение об ошибке</t>
  </si>
  <si>
    <t>Тест-кейс для проверки подключения к очереди</t>
  </si>
  <si>
    <t>Пользователь успешно авторизован</t>
  </si>
  <si>
    <t>Существует очередь с ID 00000001</t>
  </si>
  <si>
    <t>Ввести в поле ID: 00000001</t>
  </si>
  <si>
    <t>Ввод данных в поле возможен</t>
  </si>
  <si>
    <t>Нажать кнопку Go</t>
  </si>
  <si>
    <t>Сервер успешно подключил пользователя к очереди. Открыто окно с самой очередью</t>
  </si>
  <si>
    <t>Ввести в поле ID: 12312</t>
  </si>
  <si>
    <t>Ввести в поле ID: 0000000000000000000001</t>
  </si>
  <si>
    <t>Ввести в поле ID: 00000023</t>
  </si>
  <si>
    <t>Кнопка нажимается. Должно показать сообщение об ошибке</t>
  </si>
  <si>
    <t>Кнопка нажимается. Отправляет сообщение об ошибке</t>
  </si>
  <si>
    <t>Тест-кейс для проверки корректной работы программы при создании новой очереди, а также отмены создания очереди</t>
  </si>
  <si>
    <t>Нажать кнопку "Create a new queue"</t>
  </si>
  <si>
    <t>Кнопка нажалась. Пользователю открылось окно создания новой очереди</t>
  </si>
  <si>
    <t>Ввести название очереди: FirstQueue</t>
  </si>
  <si>
    <t>Нажать кнопку "Create"</t>
  </si>
  <si>
    <t>Очередь успещно создана. Информация об очереди записана в БД. Пользователь перенаправлен в окно с самой очередью</t>
  </si>
  <si>
    <t>Перейти к созданию новой очереди. Ввести название очереди: Q</t>
  </si>
  <si>
    <t>Кнопка неактивна</t>
  </si>
  <si>
    <t>Перейти к созданию новой очереди. Ввести название очереди: testname. Нажать кнопку Cancel. Затем снова вернуться к окну создания очереди.</t>
  </si>
  <si>
    <t>После нажатия кнопки Cancel окно закрывается. Данные поля имя очереди не очищаются. Поле имени очереди заполнено: testname</t>
  </si>
  <si>
    <t>После нажатия кнопки Cancel окно закрывается. Данные поля имя очереди очищаются. Открывается окно создания очереди с пустым полем</t>
  </si>
  <si>
    <t>Отображение информации</t>
  </si>
  <si>
    <t>Тест-кейс для проверки корректности отображения информации об участниках очереди</t>
  </si>
  <si>
    <t>Все пользователи успешно авторизованы</t>
  </si>
  <si>
    <t>Подключиться к очереди по ID: 00000001 на 3 клиентах</t>
  </si>
  <si>
    <t>Успешное добавление всех участников очереди в список в БД</t>
  </si>
  <si>
    <t>Проверить поля Название очереди, Место в списке, ID очереди</t>
  </si>
  <si>
    <t>Существует очередь с ID 00000001. Название: TestQueue</t>
  </si>
  <si>
    <t>Поля соответсвуют данным: Название - TestQueue, ID - 00000001, Место в списке у каждого пользователя должно быть отличаться и находиться в диапозоне от 1 до 3. Отображается список никнеймов участников очереди</t>
  </si>
  <si>
    <t>Название очереди отображается полностью</t>
  </si>
  <si>
    <t>Создать очередь с произвольным названием от 30 символов. Проверить корректность отображения</t>
  </si>
  <si>
    <t>Название выходит за рамки экрана. Видны только 21 символ</t>
  </si>
  <si>
    <t>Первый зашедший в очередь пользователь выходит из нее</t>
  </si>
  <si>
    <t>Вышедший пользователь успешно был отключен. У остальных пользователей были уменьшены на 1 места в списке. Имя вышедшего пользователя пропало из списка</t>
  </si>
  <si>
    <t>Вышедший пользователь успешно был отключен. У остальных пользователей должны были уменьшиться на 1 места в списке. Имя вышедшего пользователя пропало из списка</t>
  </si>
  <si>
    <t>Успешное отключение одного из 3х пользователей. У оставшихся пользователей изменена позиция в очереди.</t>
  </si>
  <si>
    <t>Созданиие очереди отменено. Поле не очищено</t>
  </si>
  <si>
    <t>Все 3 клиента успешно подключены к одной очереди. Отображаются название очереди, ее ID и место пользователя в данной очереди. Длинные названия очереди не помещаются на экране</t>
  </si>
  <si>
    <t>протестировано, выявлены ошибки</t>
  </si>
  <si>
    <t>протестировано, ошибок не выявлено</t>
  </si>
  <si>
    <t>Успешная регистрация при неверном формате электронной почты</t>
  </si>
  <si>
    <t>Длинные названия очередей отображаются некорректно</t>
  </si>
  <si>
    <t>Существует пользователь с логином existingLogin</t>
  </si>
  <si>
    <t>Х</t>
  </si>
  <si>
    <t>Данные из поля ввода не очищаются при отмене создания очереди</t>
  </si>
  <si>
    <t>LineLogic</t>
  </si>
  <si>
    <t>1.0</t>
  </si>
  <si>
    <r>
      <rPr>
        <b/>
        <sz val="12"/>
        <color rgb="FF000000"/>
        <rFont val="Times New Roman"/>
        <family val="1"/>
        <charset val="204"/>
      </rPr>
      <t>Шаги воспроизведения</t>
    </r>
    <r>
      <rPr>
        <sz val="12"/>
        <color rgb="FF000000"/>
        <rFont val="Times New Roman"/>
        <family val="1"/>
        <charset val="204"/>
      </rPr>
      <t xml:space="preserve"> 
1 Нажать на кнопку "Create a new queue"
2 В открывшемся окне ввести произвольное название очереди
3 Нажать на кнопку "Cancel"
4 Нажать на кнопку "Create a new queue" 
</t>
    </r>
    <r>
      <rPr>
        <b/>
        <sz val="12"/>
        <color rgb="FF000000"/>
        <rFont val="Times New Roman"/>
        <family val="1"/>
        <charset val="204"/>
      </rPr>
      <t>Ожидаемый результат</t>
    </r>
    <r>
      <rPr>
        <sz val="12"/>
        <color rgb="FF000000"/>
        <rFont val="Times New Roman"/>
        <family val="1"/>
        <charset val="204"/>
      </rPr>
      <t xml:space="preserve">:
После отмены создания новой очереди введенные данные в поле Название очереди должны быть очищены. При повторном открытии окна создания очереди данное поле должно быть пустое.
</t>
    </r>
    <r>
      <rPr>
        <b/>
        <sz val="12"/>
        <color rgb="FF000000"/>
        <rFont val="Times New Roman"/>
        <family val="1"/>
        <charset val="204"/>
      </rPr>
      <t>Наблюдаемый результат:</t>
    </r>
    <r>
      <rPr>
        <sz val="12"/>
        <color rgb="FF000000"/>
        <rFont val="Times New Roman"/>
        <family val="1"/>
        <charset val="204"/>
      </rPr>
      <t xml:space="preserve">
После отмены создания очереди при повторном открытии окна данные, введенные в поле Название очереди остаются.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</si>
</sst>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5" x14ac:knownFonts="1">
    <font>
      <sz val="11"/>
      <color rgb="FF000000"/>
      <name val="Calibri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8"/>
      <color rgb="FF000000"/>
      <name val="Calibri"/>
    </font>
    <font>
      <b/>
      <sz val="12"/>
      <color rgb="FF000000"/>
      <name val="Calibri"/>
    </font>
    <font>
      <b/>
      <sz val="11"/>
      <color rgb="FF000000"/>
      <name val="Calibri"/>
    </font>
    <font>
      <b/>
      <sz val="11"/>
      <color rgb="FF00B050"/>
      <name val="Calibri"/>
    </font>
    <font>
      <sz val="10"/>
      <name val="Times New Roman"/>
    </font>
    <font>
      <b/>
      <sz val="10"/>
      <name val="Times New Roman"/>
    </font>
    <font>
      <sz val="11"/>
      <name val="Calibri"/>
      <family val="2"/>
      <charset val="204"/>
    </font>
    <font>
      <b/>
      <sz val="11"/>
      <color rgb="FF000000"/>
      <name val="Calibri"/>
      <family val="2"/>
      <charset val="204"/>
    </font>
    <font>
      <sz val="11"/>
      <color rgb="FF000000"/>
      <name val="Calibri"/>
      <family val="2"/>
      <charset val="204"/>
    </font>
    <font>
      <b/>
      <sz val="18"/>
      <color rgb="FF000000"/>
      <name val="Calibri"/>
      <family val="2"/>
      <charset val="204"/>
    </font>
    <font>
      <sz val="10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b/>
      <sz val="10"/>
      <name val="Times New Roman"/>
      <family val="1"/>
      <charset val="204"/>
    </font>
    <font>
      <sz val="11"/>
      <color rgb="FF000000"/>
      <name val="Calibri"/>
    </font>
    <font>
      <b/>
      <sz val="11"/>
      <color theme="1"/>
      <name val="Calibri"/>
      <family val="2"/>
      <charset val="204"/>
      <scheme val="minor"/>
    </font>
    <font>
      <b/>
      <sz val="11"/>
      <color rgb="FFFFFFFF"/>
      <name val="Calibri"/>
      <family val="2"/>
      <charset val="204"/>
    </font>
    <font>
      <sz val="11"/>
      <color theme="7" tint="-0.249977111117893"/>
      <name val="Calibri"/>
      <family val="2"/>
      <charset val="204"/>
      <scheme val="minor"/>
    </font>
    <font>
      <b/>
      <sz val="26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b/>
      <sz val="24"/>
      <color theme="1"/>
      <name val="Calibri"/>
      <family val="2"/>
      <charset val="204"/>
      <scheme val="minor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sz val="12"/>
      <name val="Calibri"/>
      <family val="2"/>
      <charset val="204"/>
    </font>
    <font>
      <b/>
      <sz val="16"/>
      <name val="Times New Roman"/>
      <family val="1"/>
      <charset val="204"/>
    </font>
    <font>
      <sz val="12"/>
      <color rgb="FF000000"/>
      <name val="Calibri"/>
      <family val="2"/>
      <charset val="204"/>
    </font>
    <font>
      <sz val="12"/>
      <color rgb="FF000000"/>
      <name val="Times New Roman"/>
      <family val="1"/>
      <charset val="204"/>
    </font>
    <font>
      <b/>
      <sz val="12"/>
      <color rgb="FF000000"/>
      <name val="Times New Roman"/>
      <family val="1"/>
      <charset val="204"/>
    </font>
    <font>
      <b/>
      <sz val="16"/>
      <color rgb="FF000000"/>
      <name val="Calibri"/>
      <family val="2"/>
      <charset val="204"/>
    </font>
    <font>
      <b/>
      <sz val="16"/>
      <color rgb="FF000000"/>
      <name val="Times New Roman"/>
      <family val="1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366092"/>
        <bgColor rgb="FF366092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59999389629810485"/>
        <bgColor rgb="FFC0C0C0"/>
      </patternFill>
    </fill>
  </fills>
  <borders count="80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30">
    <xf numFmtId="0" fontId="0" fillId="0" borderId="0"/>
    <xf numFmtId="0" fontId="5" fillId="0" borderId="9"/>
    <xf numFmtId="0" fontId="19" fillId="0" borderId="9"/>
    <xf numFmtId="0" fontId="4" fillId="0" borderId="9"/>
    <xf numFmtId="0" fontId="4" fillId="4" borderId="9" applyNumberFormat="0" applyBorder="0" applyAlignment="0" applyProtection="0"/>
    <xf numFmtId="0" fontId="19" fillId="0" borderId="9"/>
    <xf numFmtId="0" fontId="19" fillId="0" borderId="9"/>
    <xf numFmtId="0" fontId="3" fillId="0" borderId="9"/>
    <xf numFmtId="0" fontId="3" fillId="4" borderId="9" applyNumberFormat="0" applyBorder="0" applyAlignment="0" applyProtection="0"/>
    <xf numFmtId="0" fontId="3" fillId="0" borderId="9"/>
    <xf numFmtId="0" fontId="3" fillId="4" borderId="9" applyNumberFormat="0" applyBorder="0" applyAlignment="0" applyProtection="0"/>
    <xf numFmtId="0" fontId="19" fillId="0" borderId="9"/>
    <xf numFmtId="0" fontId="2" fillId="0" borderId="9"/>
    <xf numFmtId="0" fontId="2" fillId="4" borderId="9" applyNumberFormat="0" applyBorder="0" applyAlignment="0" applyProtection="0"/>
    <xf numFmtId="0" fontId="19" fillId="0" borderId="9"/>
    <xf numFmtId="0" fontId="2" fillId="0" borderId="9"/>
    <xf numFmtId="0" fontId="2" fillId="4" borderId="9" applyNumberFormat="0" applyBorder="0" applyAlignment="0" applyProtection="0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2" fillId="4" borderId="9" applyNumberFormat="0" applyBorder="0" applyAlignment="0" applyProtection="0"/>
    <xf numFmtId="0" fontId="2" fillId="0" borderId="9"/>
    <xf numFmtId="0" fontId="2" fillId="4" borderId="9" applyNumberFormat="0" applyBorder="0" applyAlignment="0" applyProtection="0"/>
    <xf numFmtId="0" fontId="2" fillId="0" borderId="9"/>
    <xf numFmtId="0" fontId="2" fillId="4" borderId="9" applyNumberFormat="0" applyBorder="0" applyAlignment="0" applyProtection="0"/>
    <xf numFmtId="0" fontId="1" fillId="0" borderId="9"/>
    <xf numFmtId="0" fontId="1" fillId="0" borderId="9"/>
  </cellStyleXfs>
  <cellXfs count="337">
    <xf numFmtId="0" fontId="0" fillId="0" borderId="0" xfId="0"/>
    <xf numFmtId="0" fontId="0" fillId="2" borderId="1" xfId="0" applyFill="1" applyBorder="1"/>
    <xf numFmtId="0" fontId="6" fillId="2" borderId="1" xfId="0" applyFont="1" applyFill="1" applyBorder="1" applyAlignment="1">
      <alignment horizontal="center"/>
    </xf>
    <xf numFmtId="0" fontId="7" fillId="2" borderId="1" xfId="0" applyFont="1" applyFill="1" applyBorder="1"/>
    <xf numFmtId="0" fontId="0" fillId="2" borderId="1" xfId="0" applyFill="1" applyBorder="1" applyAlignment="1">
      <alignment horizontal="left"/>
    </xf>
    <xf numFmtId="0" fontId="0" fillId="2" borderId="2" xfId="0" applyFill="1" applyBorder="1" applyAlignment="1">
      <alignment horizontal="center" vertical="center" wrapText="1"/>
    </xf>
    <xf numFmtId="0" fontId="9" fillId="2" borderId="5" xfId="0" applyFont="1" applyFill="1" applyBorder="1"/>
    <xf numFmtId="0" fontId="0" fillId="2" borderId="1" xfId="0" applyFill="1" applyBorder="1" applyAlignment="1">
      <alignment wrapText="1"/>
    </xf>
    <xf numFmtId="0" fontId="10" fillId="0" borderId="0" xfId="0" applyFont="1" applyAlignment="1">
      <alignment horizontal="center"/>
    </xf>
    <xf numFmtId="0" fontId="10" fillId="0" borderId="0" xfId="0" applyFont="1"/>
    <xf numFmtId="0" fontId="11" fillId="0" borderId="0" xfId="0" applyFont="1" applyAlignment="1">
      <alignment horizontal="center"/>
    </xf>
    <xf numFmtId="0" fontId="10" fillId="0" borderId="0" xfId="0" applyFont="1" applyAlignment="1">
      <alignment horizontal="left"/>
    </xf>
    <xf numFmtId="0" fontId="12" fillId="2" borderId="2" xfId="0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/>
    </xf>
    <xf numFmtId="0" fontId="0" fillId="0" borderId="9" xfId="0" applyBorder="1"/>
    <xf numFmtId="0" fontId="0" fillId="2" borderId="9" xfId="0" applyFill="1" applyBorder="1"/>
    <xf numFmtId="0" fontId="16" fillId="0" borderId="9" xfId="5" applyFont="1" applyAlignment="1">
      <alignment horizontal="center"/>
    </xf>
    <xf numFmtId="0" fontId="16" fillId="0" borderId="9" xfId="5" applyFont="1"/>
    <xf numFmtId="0" fontId="18" fillId="0" borderId="9" xfId="5" applyFont="1" applyAlignment="1">
      <alignment horizontal="center"/>
    </xf>
    <xf numFmtId="0" fontId="16" fillId="0" borderId="9" xfId="5" applyFont="1" applyAlignment="1">
      <alignment horizontal="left"/>
    </xf>
    <xf numFmtId="0" fontId="17" fillId="0" borderId="9" xfId="5" applyFont="1"/>
    <xf numFmtId="0" fontId="19" fillId="0" borderId="9" xfId="11"/>
    <xf numFmtId="0" fontId="10" fillId="0" borderId="9" xfId="11" applyFont="1" applyAlignment="1">
      <alignment horizontal="center"/>
    </xf>
    <xf numFmtId="0" fontId="10" fillId="0" borderId="9" xfId="11" applyFont="1"/>
    <xf numFmtId="0" fontId="11" fillId="0" borderId="9" xfId="11" applyFont="1" applyAlignment="1">
      <alignment horizontal="center"/>
    </xf>
    <xf numFmtId="0" fontId="10" fillId="0" borderId="9" xfId="11" applyFont="1" applyAlignment="1">
      <alignment horizontal="left"/>
    </xf>
    <xf numFmtId="0" fontId="19" fillId="0" borderId="9" xfId="20"/>
    <xf numFmtId="0" fontId="14" fillId="2" borderId="1" xfId="0" applyFont="1" applyFill="1" applyBorder="1" applyAlignment="1">
      <alignment horizontal="left"/>
    </xf>
    <xf numFmtId="0" fontId="12" fillId="2" borderId="4" xfId="0" applyFont="1" applyFill="1" applyBorder="1" applyAlignment="1">
      <alignment horizontal="center" vertical="center" wrapText="1"/>
    </xf>
    <xf numFmtId="0" fontId="9" fillId="2" borderId="9" xfId="0" applyFont="1" applyFill="1" applyBorder="1"/>
    <xf numFmtId="0" fontId="12" fillId="2" borderId="24" xfId="0" applyFont="1" applyFill="1" applyBorder="1" applyAlignment="1">
      <alignment horizontal="center" vertical="center" wrapText="1"/>
    </xf>
    <xf numFmtId="0" fontId="21" fillId="3" borderId="2" xfId="0" applyFont="1" applyFill="1" applyBorder="1" applyAlignment="1">
      <alignment horizontal="center" vertical="center" wrapText="1"/>
    </xf>
    <xf numFmtId="0" fontId="14" fillId="2" borderId="2" xfId="0" applyFont="1" applyFill="1" applyBorder="1" applyAlignment="1">
      <alignment vertical="center" wrapText="1"/>
    </xf>
    <xf numFmtId="0" fontId="13" fillId="2" borderId="2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vertical="center" wrapText="1"/>
    </xf>
    <xf numFmtId="0" fontId="13" fillId="2" borderId="4" xfId="0" applyFont="1" applyFill="1" applyBorder="1" applyAlignment="1">
      <alignment horizontal="center" vertical="center" wrapText="1"/>
    </xf>
    <xf numFmtId="0" fontId="12" fillId="2" borderId="24" xfId="0" applyFont="1" applyFill="1" applyBorder="1" applyAlignment="1">
      <alignment vertical="center" wrapText="1"/>
    </xf>
    <xf numFmtId="0" fontId="13" fillId="2" borderId="24" xfId="0" applyFont="1" applyFill="1" applyBorder="1" applyAlignment="1">
      <alignment horizontal="center" vertical="center" wrapText="1"/>
    </xf>
    <xf numFmtId="0" fontId="14" fillId="2" borderId="24" xfId="0" applyFont="1" applyFill="1" applyBorder="1" applyAlignment="1">
      <alignment vertical="center" wrapText="1"/>
    </xf>
    <xf numFmtId="0" fontId="14" fillId="0" borderId="24" xfId="0" applyFont="1" applyBorder="1" applyAlignment="1">
      <alignment vertical="center"/>
    </xf>
    <xf numFmtId="0" fontId="0" fillId="0" borderId="24" xfId="0" applyBorder="1" applyAlignment="1">
      <alignment horizontal="center" vertical="center"/>
    </xf>
    <xf numFmtId="0" fontId="14" fillId="0" borderId="24" xfId="0" applyFont="1" applyBorder="1" applyAlignment="1">
      <alignment vertical="center" wrapText="1"/>
    </xf>
    <xf numFmtId="0" fontId="13" fillId="0" borderId="24" xfId="0" applyFont="1" applyBorder="1" applyAlignment="1">
      <alignment horizontal="center" vertical="center"/>
    </xf>
    <xf numFmtId="0" fontId="0" fillId="2" borderId="24" xfId="0" applyFill="1" applyBorder="1" applyAlignment="1">
      <alignment horizontal="center" vertical="center" wrapText="1"/>
    </xf>
    <xf numFmtId="0" fontId="13" fillId="0" borderId="12" xfId="0" applyFont="1" applyBorder="1" applyAlignment="1">
      <alignment vertical="center"/>
    </xf>
    <xf numFmtId="0" fontId="8" fillId="2" borderId="24" xfId="0" applyFont="1" applyFill="1" applyBorder="1" applyAlignment="1">
      <alignment horizontal="left" vertical="center" wrapText="1"/>
    </xf>
    <xf numFmtId="0" fontId="8" fillId="2" borderId="8" xfId="0" applyFont="1" applyFill="1" applyBorder="1" applyAlignment="1">
      <alignment horizontal="left" vertical="center" wrapText="1"/>
    </xf>
    <xf numFmtId="0" fontId="0" fillId="2" borderId="2" xfId="0" applyFill="1" applyBorder="1" applyAlignment="1">
      <alignment vertical="center" wrapText="1"/>
    </xf>
    <xf numFmtId="0" fontId="14" fillId="2" borderId="3" xfId="0" applyFont="1" applyFill="1" applyBorder="1" applyAlignment="1">
      <alignment horizontal="center" vertical="center" wrapText="1"/>
    </xf>
    <xf numFmtId="0" fontId="14" fillId="2" borderId="12" xfId="0" applyFont="1" applyFill="1" applyBorder="1" applyAlignment="1">
      <alignment horizontal="center" vertical="center" wrapText="1"/>
    </xf>
    <xf numFmtId="0" fontId="14" fillId="2" borderId="32" xfId="0" applyFont="1" applyFill="1" applyBorder="1" applyAlignment="1">
      <alignment horizontal="center" vertical="center" wrapText="1"/>
    </xf>
    <xf numFmtId="0" fontId="14" fillId="2" borderId="24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/>
    </xf>
    <xf numFmtId="0" fontId="14" fillId="2" borderId="2" xfId="0" applyFont="1" applyFill="1" applyBorder="1" applyAlignment="1">
      <alignment horizontal="center" vertical="center" wrapText="1"/>
    </xf>
    <xf numFmtId="0" fontId="14" fillId="2" borderId="4" xfId="0" applyFont="1" applyFill="1" applyBorder="1" applyAlignment="1">
      <alignment horizontal="center" vertical="center" wrapText="1"/>
    </xf>
    <xf numFmtId="0" fontId="14" fillId="0" borderId="24" xfId="0" applyFont="1" applyBorder="1" applyAlignment="1">
      <alignment horizontal="center" vertical="center" wrapText="1"/>
    </xf>
    <xf numFmtId="0" fontId="1" fillId="7" borderId="24" xfId="29" applyFill="1" applyBorder="1" applyAlignment="1">
      <alignment horizontal="center" vertical="center" wrapText="1"/>
    </xf>
    <xf numFmtId="0" fontId="1" fillId="0" borderId="24" xfId="29" applyBorder="1" applyAlignment="1">
      <alignment horizontal="center" vertical="center" wrapText="1"/>
    </xf>
    <xf numFmtId="0" fontId="22" fillId="0" borderId="24" xfId="29" applyFont="1" applyBorder="1" applyAlignment="1">
      <alignment horizontal="center" vertical="center" wrapText="1"/>
    </xf>
    <xf numFmtId="0" fontId="1" fillId="0" borderId="9" xfId="29" applyAlignment="1">
      <alignment vertical="center" wrapText="1"/>
    </xf>
    <xf numFmtId="0" fontId="1" fillId="0" borderId="24" xfId="29" applyBorder="1" applyAlignment="1">
      <alignment vertical="center" wrapText="1"/>
    </xf>
    <xf numFmtId="0" fontId="0" fillId="0" borderId="0" xfId="0" applyAlignment="1">
      <alignment vertical="center" wrapText="1"/>
    </xf>
    <xf numFmtId="0" fontId="20" fillId="0" borderId="9" xfId="29" applyFont="1" applyAlignment="1">
      <alignment horizontal="center" vertical="center" wrapText="1"/>
    </xf>
    <xf numFmtId="0" fontId="23" fillId="0" borderId="41" xfId="29" applyFont="1" applyBorder="1" applyAlignment="1">
      <alignment horizontal="center" vertical="center" wrapText="1"/>
    </xf>
    <xf numFmtId="0" fontId="23" fillId="0" borderId="42" xfId="29" applyFont="1" applyBorder="1" applyAlignment="1">
      <alignment horizontal="center" vertical="center" wrapText="1"/>
    </xf>
    <xf numFmtId="0" fontId="23" fillId="0" borderId="39" xfId="29" applyFont="1" applyBorder="1" applyAlignment="1">
      <alignment horizontal="center" vertical="center" wrapText="1"/>
    </xf>
    <xf numFmtId="0" fontId="25" fillId="0" borderId="24" xfId="29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24" xfId="29" applyBorder="1" applyAlignment="1">
      <alignment horizontal="left" vertical="center" wrapText="1"/>
    </xf>
    <xf numFmtId="0" fontId="16" fillId="0" borderId="9" xfId="11" applyFont="1" applyBorder="1" applyAlignment="1">
      <alignment horizontal="center"/>
    </xf>
    <xf numFmtId="0" fontId="17" fillId="0" borderId="9" xfId="15" applyFont="1" applyBorder="1" applyAlignment="1">
      <alignment horizontal="center" vertical="center" wrapText="1"/>
    </xf>
    <xf numFmtId="0" fontId="18" fillId="0" borderId="9" xfId="11" applyFont="1" applyBorder="1" applyAlignment="1">
      <alignment horizontal="left" vertical="top" wrapText="1"/>
    </xf>
    <xf numFmtId="0" fontId="1" fillId="0" borderId="24" xfId="29" applyBorder="1" applyAlignment="1">
      <alignment vertical="top" wrapText="1"/>
    </xf>
    <xf numFmtId="0" fontId="1" fillId="6" borderId="24" xfId="29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7" borderId="24" xfId="29" applyFont="1" applyFill="1" applyBorder="1" applyAlignment="1">
      <alignment horizontal="center" vertical="center" wrapText="1"/>
    </xf>
    <xf numFmtId="0" fontId="20" fillId="8" borderId="24" xfId="29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0" borderId="9" xfId="29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20" fillId="0" borderId="24" xfId="29" applyFont="1" applyBorder="1" applyAlignment="1">
      <alignment horizontal="center" vertical="center" wrapText="1"/>
    </xf>
    <xf numFmtId="0" fontId="26" fillId="9" borderId="49" xfId="0" applyFont="1" applyFill="1" applyBorder="1" applyAlignment="1">
      <alignment horizontal="center"/>
    </xf>
    <xf numFmtId="0" fontId="27" fillId="9" borderId="50" xfId="0" applyFont="1" applyFill="1" applyBorder="1" applyAlignment="1">
      <alignment horizontal="right"/>
    </xf>
    <xf numFmtId="0" fontId="26" fillId="0" borderId="34" xfId="0" applyFont="1" applyBorder="1" applyAlignment="1">
      <alignment horizontal="left" vertical="top" wrapText="1"/>
    </xf>
    <xf numFmtId="0" fontId="27" fillId="9" borderId="51" xfId="0" applyFont="1" applyFill="1" applyBorder="1" applyAlignment="1">
      <alignment horizontal="center"/>
    </xf>
    <xf numFmtId="0" fontId="27" fillId="9" borderId="52" xfId="0" applyFont="1" applyFill="1" applyBorder="1" applyAlignment="1">
      <alignment horizontal="center"/>
    </xf>
    <xf numFmtId="0" fontId="26" fillId="0" borderId="51" xfId="0" applyFont="1" applyBorder="1" applyAlignment="1">
      <alignment horizontal="center" wrapText="1"/>
    </xf>
    <xf numFmtId="0" fontId="26" fillId="9" borderId="36" xfId="0" applyFont="1" applyFill="1" applyBorder="1"/>
    <xf numFmtId="0" fontId="26" fillId="9" borderId="53" xfId="0" applyFont="1" applyFill="1" applyBorder="1" applyAlignment="1">
      <alignment horizontal="center"/>
    </xf>
    <xf numFmtId="0" fontId="27" fillId="9" borderId="11" xfId="0" applyFont="1" applyFill="1" applyBorder="1" applyAlignment="1">
      <alignment horizontal="right" vertical="top"/>
    </xf>
    <xf numFmtId="0" fontId="26" fillId="0" borderId="4" xfId="0" applyFont="1" applyBorder="1" applyAlignment="1">
      <alignment horizontal="left" vertical="top" wrapText="1"/>
    </xf>
    <xf numFmtId="0" fontId="27" fillId="9" borderId="12" xfId="0" applyFont="1" applyFill="1" applyBorder="1" applyAlignment="1">
      <alignment horizontal="center"/>
    </xf>
    <xf numFmtId="0" fontId="27" fillId="9" borderId="7" xfId="0" applyFont="1" applyFill="1" applyBorder="1" applyAlignment="1">
      <alignment horizontal="center"/>
    </xf>
    <xf numFmtId="0" fontId="27" fillId="9" borderId="8" xfId="0" applyFont="1" applyFill="1" applyBorder="1" applyAlignment="1">
      <alignment horizontal="right"/>
    </xf>
    <xf numFmtId="0" fontId="27" fillId="0" borderId="12" xfId="0" applyFont="1" applyFill="1" applyBorder="1" applyAlignment="1">
      <alignment horizontal="center" wrapText="1"/>
    </xf>
    <xf numFmtId="0" fontId="26" fillId="9" borderId="54" xfId="0" applyFont="1" applyFill="1" applyBorder="1"/>
    <xf numFmtId="0" fontId="28" fillId="8" borderId="37" xfId="0" applyFont="1" applyFill="1" applyBorder="1"/>
    <xf numFmtId="0" fontId="28" fillId="8" borderId="23" xfId="0" applyFont="1" applyFill="1" applyBorder="1"/>
    <xf numFmtId="0" fontId="27" fillId="9" borderId="32" xfId="0" applyFont="1" applyFill="1" applyBorder="1" applyAlignment="1">
      <alignment horizontal="center"/>
    </xf>
    <xf numFmtId="0" fontId="27" fillId="9" borderId="47" xfId="0" applyFont="1" applyFill="1" applyBorder="1" applyAlignment="1">
      <alignment horizontal="center"/>
    </xf>
    <xf numFmtId="0" fontId="27" fillId="9" borderId="11" xfId="0" applyFont="1" applyFill="1" applyBorder="1" applyAlignment="1">
      <alignment horizontal="right"/>
    </xf>
    <xf numFmtId="0" fontId="26" fillId="0" borderId="32" xfId="0" applyFont="1" applyBorder="1" applyAlignment="1">
      <alignment horizontal="center" wrapText="1"/>
    </xf>
    <xf numFmtId="0" fontId="27" fillId="9" borderId="55" xfId="0" applyFont="1" applyFill="1" applyBorder="1" applyAlignment="1">
      <alignment horizontal="right"/>
    </xf>
    <xf numFmtId="0" fontId="27" fillId="9" borderId="56" xfId="0" applyFont="1" applyFill="1" applyBorder="1" applyAlignment="1">
      <alignment horizontal="right"/>
    </xf>
    <xf numFmtId="0" fontId="27" fillId="9" borderId="58" xfId="0" applyFont="1" applyFill="1" applyBorder="1" applyAlignment="1">
      <alignment horizontal="right"/>
    </xf>
    <xf numFmtId="0" fontId="27" fillId="9" borderId="59" xfId="0" applyFont="1" applyFill="1" applyBorder="1" applyAlignment="1">
      <alignment horizontal="right"/>
    </xf>
    <xf numFmtId="14" fontId="27" fillId="0" borderId="58" xfId="0" applyNumberFormat="1" applyFont="1" applyBorder="1" applyAlignment="1">
      <alignment horizontal="center" wrapText="1"/>
    </xf>
    <xf numFmtId="0" fontId="26" fillId="9" borderId="60" xfId="0" applyFont="1" applyFill="1" applyBorder="1"/>
    <xf numFmtId="0" fontId="28" fillId="0" borderId="61" xfId="0" applyFont="1" applyBorder="1" applyAlignment="1">
      <alignment horizontal="left"/>
    </xf>
    <xf numFmtId="0" fontId="26" fillId="0" borderId="57" xfId="0" applyFont="1" applyBorder="1" applyAlignment="1">
      <alignment horizontal="left" wrapText="1"/>
    </xf>
    <xf numFmtId="0" fontId="27" fillId="9" borderId="35" xfId="0" applyFont="1" applyFill="1" applyBorder="1" applyAlignment="1">
      <alignment horizontal="center" vertical="center"/>
    </xf>
    <xf numFmtId="0" fontId="27" fillId="9" borderId="67" xfId="0" applyFont="1" applyFill="1" applyBorder="1" applyAlignment="1">
      <alignment horizontal="center" vertical="center"/>
    </xf>
    <xf numFmtId="0" fontId="27" fillId="9" borderId="37" xfId="0" applyFont="1" applyFill="1" applyBorder="1" applyAlignment="1">
      <alignment horizontal="center" vertical="center"/>
    </xf>
    <xf numFmtId="0" fontId="27" fillId="9" borderId="48" xfId="0" applyFont="1" applyFill="1" applyBorder="1" applyAlignment="1">
      <alignment horizontal="center" vertical="center"/>
    </xf>
    <xf numFmtId="0" fontId="27" fillId="9" borderId="38" xfId="0" applyFont="1" applyFill="1" applyBorder="1" applyAlignment="1">
      <alignment horizontal="center" vertical="center"/>
    </xf>
    <xf numFmtId="0" fontId="27" fillId="9" borderId="68" xfId="0" applyFont="1" applyFill="1" applyBorder="1" applyAlignment="1">
      <alignment horizontal="center" vertical="center"/>
    </xf>
    <xf numFmtId="0" fontId="26" fillId="5" borderId="62" xfId="0" applyFont="1" applyFill="1" applyBorder="1"/>
    <xf numFmtId="0" fontId="27" fillId="5" borderId="62" xfId="0" applyFont="1" applyFill="1" applyBorder="1" applyAlignment="1">
      <alignment horizontal="center"/>
    </xf>
    <xf numFmtId="0" fontId="30" fillId="5" borderId="62" xfId="0" applyFont="1" applyFill="1" applyBorder="1"/>
    <xf numFmtId="0" fontId="26" fillId="5" borderId="63" xfId="0" applyFont="1" applyFill="1" applyBorder="1"/>
    <xf numFmtId="0" fontId="26" fillId="5" borderId="9" xfId="0" applyFont="1" applyFill="1" applyBorder="1" applyAlignment="1">
      <alignment horizontal="left" vertical="top" wrapText="1"/>
    </xf>
    <xf numFmtId="0" fontId="26" fillId="5" borderId="9" xfId="0" applyFont="1" applyFill="1" applyBorder="1" applyAlignment="1">
      <alignment horizontal="left"/>
    </xf>
    <xf numFmtId="0" fontId="30" fillId="5" borderId="9" xfId="0" applyFont="1" applyFill="1" applyBorder="1"/>
    <xf numFmtId="0" fontId="26" fillId="5" borderId="64" xfId="0" applyFont="1" applyFill="1" applyBorder="1"/>
    <xf numFmtId="0" fontId="26" fillId="5" borderId="65" xfId="0" applyFont="1" applyFill="1" applyBorder="1"/>
    <xf numFmtId="0" fontId="27" fillId="5" borderId="65" xfId="0" applyFont="1" applyFill="1" applyBorder="1" applyAlignment="1">
      <alignment horizontal="center"/>
    </xf>
    <xf numFmtId="0" fontId="30" fillId="5" borderId="65" xfId="0" applyFont="1" applyFill="1" applyBorder="1"/>
    <xf numFmtId="0" fontId="26" fillId="5" borderId="66" xfId="0" applyFont="1" applyFill="1" applyBorder="1"/>
    <xf numFmtId="0" fontId="27" fillId="9" borderId="13" xfId="0" applyFont="1" applyFill="1" applyBorder="1" applyAlignment="1">
      <alignment horizontal="center"/>
    </xf>
    <xf numFmtId="0" fontId="27" fillId="9" borderId="14" xfId="0" applyFont="1" applyFill="1" applyBorder="1"/>
    <xf numFmtId="0" fontId="27" fillId="9" borderId="15" xfId="0" applyFont="1" applyFill="1" applyBorder="1" applyAlignment="1">
      <alignment horizontal="right"/>
    </xf>
    <xf numFmtId="0" fontId="27" fillId="9" borderId="15" xfId="0" applyFont="1" applyFill="1" applyBorder="1" applyAlignment="1">
      <alignment horizontal="center"/>
    </xf>
    <xf numFmtId="0" fontId="27" fillId="9" borderId="16" xfId="0" applyFont="1" applyFill="1" applyBorder="1" applyAlignment="1">
      <alignment horizontal="right"/>
    </xf>
    <xf numFmtId="9" fontId="27" fillId="9" borderId="17" xfId="0" applyNumberFormat="1" applyFont="1" applyFill="1" applyBorder="1"/>
    <xf numFmtId="0" fontId="27" fillId="9" borderId="44" xfId="0" applyFont="1" applyFill="1" applyBorder="1" applyAlignment="1">
      <alignment horizontal="center"/>
    </xf>
    <xf numFmtId="0" fontId="27" fillId="9" borderId="45" xfId="0" applyFont="1" applyFill="1" applyBorder="1"/>
    <xf numFmtId="0" fontId="27" fillId="9" borderId="45" xfId="0" applyFont="1" applyFill="1" applyBorder="1" applyAlignment="1">
      <alignment horizontal="center"/>
    </xf>
    <xf numFmtId="0" fontId="27" fillId="9" borderId="46" xfId="0" applyFont="1" applyFill="1" applyBorder="1"/>
    <xf numFmtId="0" fontId="27" fillId="9" borderId="10" xfId="0" applyFont="1" applyFill="1" applyBorder="1"/>
    <xf numFmtId="0" fontId="26" fillId="0" borderId="24" xfId="0" applyFont="1" applyBorder="1" applyAlignment="1">
      <alignment horizontal="center" vertical="center"/>
    </xf>
    <xf numFmtId="0" fontId="31" fillId="0" borderId="24" xfId="1" applyFont="1" applyBorder="1" applyAlignment="1">
      <alignment horizontal="center" vertical="center" wrapText="1"/>
    </xf>
    <xf numFmtId="0" fontId="27" fillId="0" borderId="24" xfId="0" applyFont="1" applyBorder="1" applyAlignment="1">
      <alignment horizontal="center" vertical="center" wrapText="1"/>
    </xf>
    <xf numFmtId="0" fontId="26" fillId="0" borderId="24" xfId="0" applyFont="1" applyBorder="1" applyAlignment="1">
      <alignment horizontal="center" vertical="center" wrapText="1"/>
    </xf>
    <xf numFmtId="0" fontId="30" fillId="0" borderId="24" xfId="0" applyFont="1" applyBorder="1" applyAlignment="1">
      <alignment horizontal="center" vertical="center"/>
    </xf>
    <xf numFmtId="0" fontId="24" fillId="0" borderId="24" xfId="29" applyFont="1" applyBorder="1" applyAlignment="1">
      <alignment horizontal="center" vertical="center" wrapText="1"/>
    </xf>
    <xf numFmtId="0" fontId="30" fillId="0" borderId="24" xfId="0" applyFont="1" applyBorder="1" applyAlignment="1">
      <alignment horizontal="center" vertical="center" wrapText="1"/>
    </xf>
    <xf numFmtId="0" fontId="27" fillId="9" borderId="24" xfId="5" applyFont="1" applyFill="1" applyBorder="1" applyAlignment="1">
      <alignment horizontal="right" vertical="top"/>
    </xf>
    <xf numFmtId="0" fontId="26" fillId="0" borderId="24" xfId="5" applyFont="1" applyBorder="1" applyAlignment="1">
      <alignment horizontal="left" vertical="top" wrapText="1"/>
    </xf>
    <xf numFmtId="0" fontId="27" fillId="0" borderId="24" xfId="5" applyFont="1" applyFill="1" applyBorder="1" applyAlignment="1">
      <alignment horizontal="center" wrapText="1"/>
    </xf>
    <xf numFmtId="0" fontId="26" fillId="0" borderId="24" xfId="5" applyFont="1" applyBorder="1" applyAlignment="1">
      <alignment horizontal="left"/>
    </xf>
    <xf numFmtId="0" fontId="27" fillId="9" borderId="41" xfId="5" applyFont="1" applyFill="1" applyBorder="1" applyAlignment="1">
      <alignment horizontal="right"/>
    </xf>
    <xf numFmtId="0" fontId="27" fillId="9" borderId="42" xfId="5" applyFont="1" applyFill="1" applyBorder="1" applyAlignment="1">
      <alignment horizontal="right"/>
    </xf>
    <xf numFmtId="0" fontId="27" fillId="9" borderId="39" xfId="5" applyFont="1" applyFill="1" applyBorder="1" applyAlignment="1">
      <alignment horizontal="right"/>
    </xf>
    <xf numFmtId="0" fontId="27" fillId="9" borderId="24" xfId="5" applyFont="1" applyFill="1" applyBorder="1" applyAlignment="1">
      <alignment horizontal="right"/>
    </xf>
    <xf numFmtId="0" fontId="27" fillId="9" borderId="69" xfId="5" applyFont="1" applyFill="1" applyBorder="1" applyAlignment="1">
      <alignment horizontal="right"/>
    </xf>
    <xf numFmtId="0" fontId="27" fillId="9" borderId="70" xfId="5" applyFont="1" applyFill="1" applyBorder="1" applyAlignment="1">
      <alignment horizontal="right"/>
    </xf>
    <xf numFmtId="0" fontId="26" fillId="0" borderId="70" xfId="5" applyFont="1" applyBorder="1" applyAlignment="1">
      <alignment horizontal="left" vertical="top" wrapText="1"/>
    </xf>
    <xf numFmtId="0" fontId="26" fillId="0" borderId="70" xfId="5" applyFont="1" applyBorder="1" applyAlignment="1">
      <alignment horizontal="center" wrapText="1"/>
    </xf>
    <xf numFmtId="0" fontId="26" fillId="9" borderId="71" xfId="5" applyFont="1" applyFill="1" applyBorder="1"/>
    <xf numFmtId="0" fontId="27" fillId="9" borderId="72" xfId="5" applyFont="1" applyFill="1" applyBorder="1" applyAlignment="1">
      <alignment horizontal="right" vertical="top"/>
    </xf>
    <xf numFmtId="0" fontId="26" fillId="9" borderId="73" xfId="5" applyFont="1" applyFill="1" applyBorder="1"/>
    <xf numFmtId="0" fontId="27" fillId="9" borderId="74" xfId="5" applyFont="1" applyFill="1" applyBorder="1" applyAlignment="1">
      <alignment horizontal="right"/>
    </xf>
    <xf numFmtId="0" fontId="27" fillId="9" borderId="57" xfId="5" applyFont="1" applyFill="1" applyBorder="1" applyAlignment="1">
      <alignment horizontal="right"/>
    </xf>
    <xf numFmtId="0" fontId="26" fillId="0" borderId="57" xfId="5" applyFont="1" applyBorder="1" applyAlignment="1">
      <alignment horizontal="left" wrapText="1"/>
    </xf>
    <xf numFmtId="0" fontId="26" fillId="9" borderId="75" xfId="5" applyFont="1" applyFill="1" applyBorder="1"/>
    <xf numFmtId="0" fontId="26" fillId="0" borderId="76" xfId="5" applyFont="1" applyBorder="1" applyAlignment="1">
      <alignment horizontal="center" wrapText="1"/>
    </xf>
    <xf numFmtId="0" fontId="27" fillId="0" borderId="41" xfId="5" applyFont="1" applyFill="1" applyBorder="1" applyAlignment="1">
      <alignment horizontal="center" wrapText="1"/>
    </xf>
    <xf numFmtId="0" fontId="26" fillId="0" borderId="41" xfId="5" applyFont="1" applyBorder="1" applyAlignment="1">
      <alignment horizontal="center" wrapText="1"/>
    </xf>
    <xf numFmtId="0" fontId="26" fillId="9" borderId="36" xfId="5" applyFont="1" applyFill="1" applyBorder="1"/>
    <xf numFmtId="0" fontId="26" fillId="9" borderId="54" xfId="5" applyFont="1" applyFill="1" applyBorder="1"/>
    <xf numFmtId="0" fontId="26" fillId="9" borderId="60" xfId="5" applyFont="1" applyFill="1" applyBorder="1"/>
    <xf numFmtId="0" fontId="18" fillId="5" borderId="62" xfId="5" applyFont="1" applyFill="1" applyBorder="1" applyAlignment="1">
      <alignment horizontal="center"/>
    </xf>
    <xf numFmtId="0" fontId="17" fillId="5" borderId="62" xfId="5" applyFont="1" applyFill="1" applyBorder="1"/>
    <xf numFmtId="0" fontId="16" fillId="5" borderId="63" xfId="5" applyFont="1" applyFill="1" applyBorder="1"/>
    <xf numFmtId="0" fontId="16" fillId="5" borderId="9" xfId="5" applyFont="1" applyFill="1" applyBorder="1" applyAlignment="1">
      <alignment horizontal="left"/>
    </xf>
    <xf numFmtId="0" fontId="17" fillId="5" borderId="9" xfId="5" applyFont="1" applyFill="1" applyBorder="1"/>
    <xf numFmtId="0" fontId="16" fillId="5" borderId="64" xfId="5" applyFont="1" applyFill="1" applyBorder="1"/>
    <xf numFmtId="0" fontId="18" fillId="5" borderId="65" xfId="5" applyFont="1" applyFill="1" applyBorder="1" applyAlignment="1">
      <alignment horizontal="center"/>
    </xf>
    <xf numFmtId="0" fontId="17" fillId="5" borderId="65" xfId="5" applyFont="1" applyFill="1" applyBorder="1"/>
    <xf numFmtId="0" fontId="16" fillId="5" borderId="66" xfId="5" applyFont="1" applyFill="1" applyBorder="1"/>
    <xf numFmtId="0" fontId="27" fillId="9" borderId="69" xfId="5" applyFont="1" applyFill="1" applyBorder="1" applyAlignment="1">
      <alignment horizontal="right" vertical="center"/>
    </xf>
    <xf numFmtId="0" fontId="27" fillId="9" borderId="70" xfId="5" applyFont="1" applyFill="1" applyBorder="1" applyAlignment="1">
      <alignment horizontal="right" vertical="center"/>
    </xf>
    <xf numFmtId="0" fontId="27" fillId="9" borderId="72" xfId="5" applyFont="1" applyFill="1" applyBorder="1" applyAlignment="1">
      <alignment horizontal="right" vertical="center"/>
    </xf>
    <xf numFmtId="0" fontId="27" fillId="9" borderId="24" xfId="5" applyFont="1" applyFill="1" applyBorder="1" applyAlignment="1">
      <alignment horizontal="right" vertical="center"/>
    </xf>
    <xf numFmtId="0" fontId="26" fillId="5" borderId="9" xfId="5" applyFont="1" applyFill="1" applyBorder="1" applyAlignment="1">
      <alignment horizontal="left" vertical="top" wrapText="1"/>
    </xf>
    <xf numFmtId="0" fontId="27" fillId="9" borderId="74" xfId="5" applyFont="1" applyFill="1" applyBorder="1" applyAlignment="1">
      <alignment horizontal="right" vertical="center"/>
    </xf>
    <xf numFmtId="0" fontId="27" fillId="9" borderId="57" xfId="5" applyFont="1" applyFill="1" applyBorder="1" applyAlignment="1">
      <alignment horizontal="right" vertical="center"/>
    </xf>
    <xf numFmtId="0" fontId="26" fillId="5" borderId="65" xfId="5" applyFont="1" applyFill="1" applyBorder="1"/>
    <xf numFmtId="0" fontId="26" fillId="0" borderId="40" xfId="5" applyFont="1" applyBorder="1" applyAlignment="1">
      <alignment horizontal="center" vertical="center"/>
    </xf>
    <xf numFmtId="0" fontId="31" fillId="0" borderId="8" xfId="3" applyFont="1" applyBorder="1" applyAlignment="1">
      <alignment horizontal="center" vertical="center" wrapText="1"/>
    </xf>
    <xf numFmtId="0" fontId="31" fillId="0" borderId="2" xfId="3" applyFont="1" applyBorder="1" applyAlignment="1">
      <alignment horizontal="center" vertical="center" wrapText="1"/>
    </xf>
    <xf numFmtId="0" fontId="27" fillId="0" borderId="6" xfId="5" applyFont="1" applyBorder="1" applyAlignment="1">
      <alignment horizontal="center" vertical="center" wrapText="1"/>
    </xf>
    <xf numFmtId="0" fontId="27" fillId="0" borderId="6" xfId="5" applyFont="1" applyBorder="1" applyAlignment="1">
      <alignment horizontal="left" vertical="top" wrapText="1"/>
    </xf>
    <xf numFmtId="0" fontId="26" fillId="0" borderId="20" xfId="5" applyFont="1" applyBorder="1" applyAlignment="1">
      <alignment horizontal="left" vertical="top" wrapText="1"/>
    </xf>
    <xf numFmtId="0" fontId="26" fillId="0" borderId="24" xfId="5" applyFont="1" applyBorder="1" applyAlignment="1">
      <alignment horizontal="center" vertical="center"/>
    </xf>
    <xf numFmtId="0" fontId="27" fillId="0" borderId="2" xfId="5" applyFont="1" applyBorder="1" applyAlignment="1">
      <alignment horizontal="left" vertical="top" wrapText="1"/>
    </xf>
    <xf numFmtId="0" fontId="26" fillId="0" borderId="22" xfId="5" applyFont="1" applyBorder="1" applyAlignment="1">
      <alignment horizontal="right" wrapText="1"/>
    </xf>
    <xf numFmtId="0" fontId="27" fillId="0" borderId="25" xfId="5" applyFont="1" applyBorder="1" applyAlignment="1">
      <alignment horizontal="center" vertical="center" wrapText="1"/>
    </xf>
    <xf numFmtId="0" fontId="27" fillId="0" borderId="4" xfId="5" applyFont="1" applyBorder="1" applyAlignment="1">
      <alignment horizontal="left" vertical="top" wrapText="1"/>
    </xf>
    <xf numFmtId="0" fontId="26" fillId="0" borderId="26" xfId="5" applyFont="1" applyBorder="1" applyAlignment="1">
      <alignment horizontal="left" vertical="top" wrapText="1"/>
    </xf>
    <xf numFmtId="0" fontId="31" fillId="0" borderId="24" xfId="5" applyFont="1" applyBorder="1" applyAlignment="1">
      <alignment horizontal="center" vertical="center"/>
    </xf>
    <xf numFmtId="0" fontId="31" fillId="0" borderId="12" xfId="3" applyFont="1" applyBorder="1" applyAlignment="1">
      <alignment horizontal="center" vertical="center" wrapText="1"/>
    </xf>
    <xf numFmtId="0" fontId="32" fillId="0" borderId="24" xfId="5" applyFont="1" applyBorder="1" applyAlignment="1">
      <alignment horizontal="center" vertical="center"/>
    </xf>
    <xf numFmtId="0" fontId="31" fillId="0" borderId="24" xfId="5" applyFont="1" applyBorder="1"/>
    <xf numFmtId="0" fontId="27" fillId="0" borderId="24" xfId="5" applyFont="1" applyBorder="1" applyAlignment="1">
      <alignment horizontal="center" vertical="center" wrapText="1"/>
    </xf>
    <xf numFmtId="0" fontId="27" fillId="9" borderId="41" xfId="5" applyFont="1" applyFill="1" applyBorder="1" applyAlignment="1">
      <alignment horizontal="right" vertical="center"/>
    </xf>
    <xf numFmtId="0" fontId="27" fillId="9" borderId="42" xfId="5" applyFont="1" applyFill="1" applyBorder="1" applyAlignment="1">
      <alignment horizontal="right" vertical="center"/>
    </xf>
    <xf numFmtId="0" fontId="27" fillId="9" borderId="39" xfId="5" applyFont="1" applyFill="1" applyBorder="1" applyAlignment="1">
      <alignment horizontal="right" vertical="center"/>
    </xf>
    <xf numFmtId="14" fontId="27" fillId="0" borderId="58" xfId="5" applyNumberFormat="1" applyFont="1" applyBorder="1" applyAlignment="1">
      <alignment horizontal="center" wrapText="1"/>
    </xf>
    <xf numFmtId="0" fontId="27" fillId="9" borderId="76" xfId="5" applyFont="1" applyFill="1" applyBorder="1" applyAlignment="1">
      <alignment horizontal="right"/>
    </xf>
    <xf numFmtId="0" fontId="27" fillId="9" borderId="79" xfId="5" applyFont="1" applyFill="1" applyBorder="1" applyAlignment="1">
      <alignment horizontal="right"/>
    </xf>
    <xf numFmtId="0" fontId="27" fillId="9" borderId="78" xfId="5" applyFont="1" applyFill="1" applyBorder="1" applyAlignment="1">
      <alignment horizontal="right"/>
    </xf>
    <xf numFmtId="0" fontId="27" fillId="9" borderId="58" xfId="5" applyFont="1" applyFill="1" applyBorder="1" applyAlignment="1">
      <alignment horizontal="right"/>
    </xf>
    <xf numFmtId="0" fontId="27" fillId="9" borderId="59" xfId="5" applyFont="1" applyFill="1" applyBorder="1" applyAlignment="1">
      <alignment horizontal="right"/>
    </xf>
    <xf numFmtId="0" fontId="27" fillId="9" borderId="56" xfId="5" applyFont="1" applyFill="1" applyBorder="1" applyAlignment="1">
      <alignment horizontal="right"/>
    </xf>
    <xf numFmtId="14" fontId="27" fillId="0" borderId="57" xfId="5" applyNumberFormat="1" applyFont="1" applyBorder="1" applyAlignment="1">
      <alignment horizontal="center" wrapText="1"/>
    </xf>
    <xf numFmtId="0" fontId="26" fillId="0" borderId="78" xfId="5" applyFont="1" applyBorder="1" applyAlignment="1">
      <alignment vertical="top" wrapText="1"/>
    </xf>
    <xf numFmtId="0" fontId="26" fillId="0" borderId="39" xfId="5" applyFont="1" applyBorder="1" applyAlignment="1">
      <alignment vertical="top" wrapText="1"/>
    </xf>
    <xf numFmtId="0" fontId="26" fillId="0" borderId="39" xfId="5" applyFont="1" applyBorder="1" applyAlignment="1"/>
    <xf numFmtId="0" fontId="26" fillId="0" borderId="56" xfId="5" applyFont="1" applyBorder="1" applyAlignment="1">
      <alignment wrapText="1"/>
    </xf>
    <xf numFmtId="0" fontId="26" fillId="5" borderId="9" xfId="5" applyFont="1" applyFill="1" applyBorder="1" applyAlignment="1">
      <alignment horizontal="left"/>
    </xf>
    <xf numFmtId="0" fontId="27" fillId="5" borderId="62" xfId="5" applyFont="1" applyFill="1" applyBorder="1" applyAlignment="1">
      <alignment horizontal="center"/>
    </xf>
    <xf numFmtId="0" fontId="31" fillId="5" borderId="62" xfId="5" applyFont="1" applyFill="1" applyBorder="1"/>
    <xf numFmtId="0" fontId="26" fillId="5" borderId="63" xfId="5" applyFont="1" applyFill="1" applyBorder="1"/>
    <xf numFmtId="0" fontId="26" fillId="5" borderId="65" xfId="5" applyFont="1" applyFill="1" applyBorder="1" applyAlignment="1">
      <alignment horizontal="left" vertical="top" wrapText="1"/>
    </xf>
    <xf numFmtId="0" fontId="26" fillId="5" borderId="65" xfId="5" applyFont="1" applyFill="1" applyBorder="1" applyAlignment="1">
      <alignment horizontal="left"/>
    </xf>
    <xf numFmtId="0" fontId="31" fillId="5" borderId="65" xfId="5" applyFont="1" applyFill="1" applyBorder="1"/>
    <xf numFmtId="0" fontId="26" fillId="5" borderId="66" xfId="5" applyFont="1" applyFill="1" applyBorder="1"/>
    <xf numFmtId="0" fontId="27" fillId="9" borderId="35" xfId="5" applyFont="1" applyFill="1" applyBorder="1" applyAlignment="1">
      <alignment horizontal="right" vertical="center"/>
    </xf>
    <xf numFmtId="0" fontId="27" fillId="9" borderId="67" xfId="5" applyFont="1" applyFill="1" applyBorder="1" applyAlignment="1">
      <alignment horizontal="right" vertical="center"/>
    </xf>
    <xf numFmtId="0" fontId="27" fillId="9" borderId="38" xfId="5" applyFont="1" applyFill="1" applyBorder="1" applyAlignment="1">
      <alignment horizontal="right" vertical="center"/>
    </xf>
    <xf numFmtId="0" fontId="27" fillId="9" borderId="68" xfId="5" applyFont="1" applyFill="1" applyBorder="1" applyAlignment="1">
      <alignment horizontal="right" vertical="center"/>
    </xf>
    <xf numFmtId="0" fontId="31" fillId="0" borderId="24" xfId="6" applyFont="1" applyBorder="1" applyAlignment="1">
      <alignment horizontal="center" vertical="center"/>
    </xf>
    <xf numFmtId="0" fontId="31" fillId="0" borderId="24" xfId="7" applyFont="1" applyBorder="1" applyAlignment="1">
      <alignment horizontal="center" vertical="center" wrapText="1"/>
    </xf>
    <xf numFmtId="0" fontId="32" fillId="0" borderId="24" xfId="7" applyFont="1" applyBorder="1" applyAlignment="1">
      <alignment horizontal="center" vertical="center" wrapText="1"/>
    </xf>
    <xf numFmtId="0" fontId="31" fillId="0" borderId="24" xfId="6" applyFont="1" applyBorder="1"/>
    <xf numFmtId="0" fontId="31" fillId="0" borderId="24" xfId="9" applyFont="1" applyBorder="1" applyAlignment="1">
      <alignment horizontal="center" vertical="center" wrapText="1"/>
    </xf>
    <xf numFmtId="0" fontId="26" fillId="0" borderId="24" xfId="5" applyFont="1" applyBorder="1" applyAlignment="1">
      <alignment horizontal="center" vertical="center" wrapText="1"/>
    </xf>
    <xf numFmtId="0" fontId="27" fillId="9" borderId="24" xfId="11" applyFont="1" applyFill="1" applyBorder="1" applyAlignment="1">
      <alignment horizontal="right"/>
    </xf>
    <xf numFmtId="0" fontId="27" fillId="9" borderId="24" xfId="11" applyFont="1" applyFill="1" applyBorder="1" applyAlignment="1">
      <alignment horizontal="center" vertical="top"/>
    </xf>
    <xf numFmtId="0" fontId="26" fillId="0" borderId="24" xfId="11" applyFont="1" applyBorder="1" applyAlignment="1">
      <alignment horizontal="left" vertical="top" wrapText="1"/>
    </xf>
    <xf numFmtId="0" fontId="27" fillId="9" borderId="69" xfId="11" applyFont="1" applyFill="1" applyBorder="1" applyAlignment="1">
      <alignment horizontal="center"/>
    </xf>
    <xf numFmtId="0" fontId="27" fillId="9" borderId="70" xfId="11" applyFont="1" applyFill="1" applyBorder="1" applyAlignment="1">
      <alignment horizontal="center"/>
    </xf>
    <xf numFmtId="0" fontId="26" fillId="0" borderId="70" xfId="11" applyFont="1" applyBorder="1" applyAlignment="1">
      <alignment horizontal="left" vertical="top" wrapText="1"/>
    </xf>
    <xf numFmtId="0" fontId="27" fillId="9" borderId="70" xfId="11" applyFont="1" applyFill="1" applyBorder="1" applyAlignment="1">
      <alignment horizontal="right"/>
    </xf>
    <xf numFmtId="0" fontId="27" fillId="9" borderId="72" xfId="11" applyFont="1" applyFill="1" applyBorder="1" applyAlignment="1">
      <alignment horizontal="center" vertical="top"/>
    </xf>
    <xf numFmtId="0" fontId="27" fillId="9" borderId="74" xfId="11" applyFont="1" applyFill="1" applyBorder="1" applyAlignment="1">
      <alignment horizontal="center"/>
    </xf>
    <xf numFmtId="0" fontId="27" fillId="9" borderId="57" xfId="11" applyFont="1" applyFill="1" applyBorder="1" applyAlignment="1">
      <alignment horizontal="center"/>
    </xf>
    <xf numFmtId="0" fontId="26" fillId="0" borderId="57" xfId="11" applyFont="1" applyBorder="1" applyAlignment="1">
      <alignment horizontal="left" wrapText="1"/>
    </xf>
    <xf numFmtId="0" fontId="27" fillId="9" borderId="57" xfId="11" applyFont="1" applyFill="1" applyBorder="1" applyAlignment="1">
      <alignment horizontal="right"/>
    </xf>
    <xf numFmtId="0" fontId="26" fillId="0" borderId="76" xfId="11" applyFont="1" applyBorder="1" applyAlignment="1">
      <alignment horizontal="center" wrapText="1"/>
    </xf>
    <xf numFmtId="0" fontId="27" fillId="0" borderId="41" xfId="11" applyFont="1" applyFill="1" applyBorder="1" applyAlignment="1">
      <alignment horizontal="center" wrapText="1"/>
    </xf>
    <xf numFmtId="14" fontId="27" fillId="0" borderId="58" xfId="11" applyNumberFormat="1" applyFont="1" applyBorder="1" applyAlignment="1">
      <alignment horizontal="center" wrapText="1"/>
    </xf>
    <xf numFmtId="0" fontId="26" fillId="9" borderId="36" xfId="11" applyFont="1" applyFill="1" applyBorder="1"/>
    <xf numFmtId="0" fontId="26" fillId="9" borderId="54" xfId="11" applyFont="1" applyFill="1" applyBorder="1"/>
    <xf numFmtId="0" fontId="26" fillId="9" borderId="60" xfId="11" applyFont="1" applyFill="1" applyBorder="1"/>
    <xf numFmtId="0" fontId="27" fillId="9" borderId="9" xfId="11" applyFont="1" applyFill="1" applyBorder="1" applyAlignment="1">
      <alignment horizontal="right" vertical="center"/>
    </xf>
    <xf numFmtId="0" fontId="27" fillId="9" borderId="35" xfId="11" applyFont="1" applyFill="1" applyBorder="1" applyAlignment="1">
      <alignment horizontal="right" vertical="center"/>
    </xf>
    <xf numFmtId="0" fontId="27" fillId="9" borderId="62" xfId="11" applyFont="1" applyFill="1" applyBorder="1" applyAlignment="1">
      <alignment horizontal="right" vertical="center"/>
    </xf>
    <xf numFmtId="0" fontId="30" fillId="5" borderId="62" xfId="11" applyFont="1" applyFill="1" applyBorder="1"/>
    <xf numFmtId="0" fontId="26" fillId="5" borderId="63" xfId="11" applyFont="1" applyFill="1" applyBorder="1"/>
    <xf numFmtId="0" fontId="27" fillId="9" borderId="37" xfId="11" applyFont="1" applyFill="1" applyBorder="1" applyAlignment="1">
      <alignment horizontal="right" vertical="center"/>
    </xf>
    <xf numFmtId="0" fontId="30" fillId="5" borderId="9" xfId="11" applyFont="1" applyFill="1" applyBorder="1"/>
    <xf numFmtId="0" fontId="26" fillId="5" borderId="64" xfId="11" applyFont="1" applyFill="1" applyBorder="1"/>
    <xf numFmtId="0" fontId="27" fillId="9" borderId="38" xfId="11" applyFont="1" applyFill="1" applyBorder="1" applyAlignment="1">
      <alignment horizontal="right" vertical="center"/>
    </xf>
    <xf numFmtId="0" fontId="27" fillId="9" borderId="65" xfId="11" applyFont="1" applyFill="1" applyBorder="1" applyAlignment="1">
      <alignment horizontal="right" vertical="center"/>
    </xf>
    <xf numFmtId="0" fontId="26" fillId="5" borderId="65" xfId="11" applyFont="1" applyFill="1" applyBorder="1"/>
    <xf numFmtId="0" fontId="27" fillId="5" borderId="65" xfId="11" applyFont="1" applyFill="1" applyBorder="1" applyAlignment="1">
      <alignment horizontal="center"/>
    </xf>
    <xf numFmtId="0" fontId="30" fillId="5" borderId="65" xfId="11" applyFont="1" applyFill="1" applyBorder="1"/>
    <xf numFmtId="0" fontId="26" fillId="5" borderId="66" xfId="11" applyFont="1" applyFill="1" applyBorder="1"/>
    <xf numFmtId="0" fontId="27" fillId="9" borderId="13" xfId="11" applyFont="1" applyFill="1" applyBorder="1" applyAlignment="1">
      <alignment horizontal="center"/>
    </xf>
    <xf numFmtId="0" fontId="27" fillId="9" borderId="14" xfId="11" applyFont="1" applyFill="1" applyBorder="1"/>
    <xf numFmtId="0" fontId="27" fillId="9" borderId="15" xfId="11" applyFont="1" applyFill="1" applyBorder="1" applyAlignment="1">
      <alignment horizontal="right"/>
    </xf>
    <xf numFmtId="0" fontId="27" fillId="9" borderId="15" xfId="11" applyFont="1" applyFill="1" applyBorder="1" applyAlignment="1">
      <alignment horizontal="center"/>
    </xf>
    <xf numFmtId="0" fontId="27" fillId="9" borderId="16" xfId="11" applyFont="1" applyFill="1" applyBorder="1" applyAlignment="1">
      <alignment horizontal="right"/>
    </xf>
    <xf numFmtId="9" fontId="27" fillId="9" borderId="17" xfId="11" applyNumberFormat="1" applyFont="1" applyFill="1" applyBorder="1"/>
    <xf numFmtId="0" fontId="27" fillId="9" borderId="18" xfId="11" applyFont="1" applyFill="1" applyBorder="1" applyAlignment="1">
      <alignment horizontal="center"/>
    </xf>
    <xf numFmtId="0" fontId="27" fillId="9" borderId="15" xfId="11" applyFont="1" applyFill="1" applyBorder="1"/>
    <xf numFmtId="0" fontId="27" fillId="9" borderId="16" xfId="11" applyFont="1" applyFill="1" applyBorder="1"/>
    <xf numFmtId="0" fontId="27" fillId="9" borderId="17" xfId="11" applyFont="1" applyFill="1" applyBorder="1"/>
    <xf numFmtId="0" fontId="31" fillId="0" borderId="2" xfId="15" applyFont="1" applyBorder="1" applyAlignment="1">
      <alignment horizontal="center" vertical="center" wrapText="1"/>
    </xf>
    <xf numFmtId="0" fontId="27" fillId="0" borderId="6" xfId="11" applyFont="1" applyBorder="1" applyAlignment="1">
      <alignment horizontal="left" vertical="top" wrapText="1"/>
    </xf>
    <xf numFmtId="0" fontId="26" fillId="0" borderId="20" xfId="11" applyFont="1" applyBorder="1" applyAlignment="1">
      <alignment horizontal="left" vertical="top" wrapText="1"/>
    </xf>
    <xf numFmtId="0" fontId="27" fillId="0" borderId="2" xfId="11" applyFont="1" applyBorder="1" applyAlignment="1">
      <alignment horizontal="left" vertical="top" wrapText="1"/>
    </xf>
    <xf numFmtId="0" fontId="26" fillId="0" borderId="22" xfId="11" applyFont="1" applyBorder="1" applyAlignment="1">
      <alignment horizontal="left" vertical="top" wrapText="1"/>
    </xf>
    <xf numFmtId="0" fontId="31" fillId="0" borderId="4" xfId="15" applyFont="1" applyBorder="1" applyAlignment="1">
      <alignment horizontal="center" vertical="center" wrapText="1"/>
    </xf>
    <xf numFmtId="0" fontId="27" fillId="0" borderId="4" xfId="11" applyFont="1" applyBorder="1" applyAlignment="1">
      <alignment horizontal="left" vertical="top" wrapText="1"/>
    </xf>
    <xf numFmtId="0" fontId="26" fillId="0" borderId="26" xfId="11" applyFont="1" applyBorder="1" applyAlignment="1">
      <alignment horizontal="center" vertical="center" wrapText="1"/>
    </xf>
    <xf numFmtId="0" fontId="31" fillId="0" borderId="24" xfId="15" applyFont="1" applyBorder="1" applyAlignment="1">
      <alignment horizontal="center" vertical="center" wrapText="1"/>
    </xf>
    <xf numFmtId="0" fontId="27" fillId="0" borderId="24" xfId="11" applyFont="1" applyBorder="1" applyAlignment="1">
      <alignment horizontal="left" vertical="top" wrapText="1"/>
    </xf>
    <xf numFmtId="0" fontId="27" fillId="0" borderId="6" xfId="11" applyFont="1" applyBorder="1" applyAlignment="1">
      <alignment horizontal="center" vertical="center" wrapText="1"/>
    </xf>
    <xf numFmtId="0" fontId="27" fillId="0" borderId="2" xfId="11" applyFont="1" applyBorder="1" applyAlignment="1">
      <alignment horizontal="center" vertical="center" wrapText="1"/>
    </xf>
    <xf numFmtId="0" fontId="27" fillId="0" borderId="25" xfId="11" applyFont="1" applyBorder="1" applyAlignment="1">
      <alignment horizontal="center" vertical="center" wrapText="1"/>
    </xf>
    <xf numFmtId="0" fontId="27" fillId="0" borderId="4" xfId="11" applyFont="1" applyBorder="1" applyAlignment="1">
      <alignment horizontal="center" vertical="center" wrapText="1"/>
    </xf>
    <xf numFmtId="0" fontId="27" fillId="0" borderId="24" xfId="11" applyFont="1" applyBorder="1" applyAlignment="1">
      <alignment horizontal="center" vertical="center" wrapText="1"/>
    </xf>
    <xf numFmtId="0" fontId="26" fillId="0" borderId="19" xfId="11" applyFont="1" applyBorder="1" applyAlignment="1">
      <alignment horizontal="center" vertical="center"/>
    </xf>
    <xf numFmtId="0" fontId="26" fillId="0" borderId="21" xfId="11" applyFont="1" applyBorder="1" applyAlignment="1">
      <alignment horizontal="center" vertical="center"/>
    </xf>
    <xf numFmtId="0" fontId="26" fillId="0" borderId="43" xfId="11" applyFont="1" applyBorder="1" applyAlignment="1">
      <alignment horizontal="center" vertical="center"/>
    </xf>
    <xf numFmtId="0" fontId="26" fillId="0" borderId="24" xfId="11" applyFont="1" applyBorder="1" applyAlignment="1">
      <alignment horizontal="center" vertical="center"/>
    </xf>
    <xf numFmtId="0" fontId="29" fillId="0" borderId="24" xfId="0" applyFont="1" applyBorder="1" applyAlignment="1">
      <alignment horizontal="center" vertical="center" wrapText="1"/>
    </xf>
    <xf numFmtId="0" fontId="33" fillId="0" borderId="24" xfId="0" applyFont="1" applyBorder="1" applyAlignment="1">
      <alignment horizontal="center" vertical="center"/>
    </xf>
    <xf numFmtId="0" fontId="34" fillId="0" borderId="24" xfId="0" applyFont="1" applyBorder="1" applyAlignment="1">
      <alignment horizontal="center" vertical="center"/>
    </xf>
    <xf numFmtId="0" fontId="27" fillId="9" borderId="77" xfId="5" applyFont="1" applyFill="1" applyBorder="1" applyAlignment="1">
      <alignment horizontal="center"/>
    </xf>
    <xf numFmtId="0" fontId="27" fillId="9" borderId="14" xfId="5" applyFont="1" applyFill="1" applyBorder="1"/>
    <xf numFmtId="0" fontId="27" fillId="9" borderId="15" xfId="5" applyFont="1" applyFill="1" applyBorder="1" applyAlignment="1">
      <alignment horizontal="right"/>
    </xf>
    <xf numFmtId="0" fontId="27" fillId="9" borderId="15" xfId="5" applyFont="1" applyFill="1" applyBorder="1" applyAlignment="1">
      <alignment horizontal="center"/>
    </xf>
    <xf numFmtId="0" fontId="27" fillId="9" borderId="16" xfId="5" applyFont="1" applyFill="1" applyBorder="1" applyAlignment="1">
      <alignment horizontal="right"/>
    </xf>
    <xf numFmtId="9" fontId="27" fillId="9" borderId="17" xfId="5" applyNumberFormat="1" applyFont="1" applyFill="1" applyBorder="1"/>
    <xf numFmtId="0" fontId="27" fillId="9" borderId="33" xfId="5" applyFont="1" applyFill="1" applyBorder="1" applyAlignment="1">
      <alignment horizontal="center"/>
    </xf>
    <xf numFmtId="0" fontId="27" fillId="9" borderId="15" xfId="5" applyFont="1" applyFill="1" applyBorder="1"/>
    <xf numFmtId="0" fontId="27" fillId="9" borderId="16" xfId="5" applyFont="1" applyFill="1" applyBorder="1"/>
    <xf numFmtId="0" fontId="27" fillId="9" borderId="17" xfId="5" applyFont="1" applyFill="1" applyBorder="1"/>
    <xf numFmtId="0" fontId="27" fillId="9" borderId="13" xfId="5" applyFont="1" applyFill="1" applyBorder="1" applyAlignment="1">
      <alignment horizontal="center"/>
    </xf>
    <xf numFmtId="0" fontId="27" fillId="9" borderId="44" xfId="5" applyFont="1" applyFill="1" applyBorder="1" applyAlignment="1">
      <alignment horizontal="center"/>
    </xf>
    <xf numFmtId="0" fontId="27" fillId="9" borderId="45" xfId="5" applyFont="1" applyFill="1" applyBorder="1"/>
    <xf numFmtId="0" fontId="27" fillId="9" borderId="45" xfId="5" applyFont="1" applyFill="1" applyBorder="1" applyAlignment="1">
      <alignment horizontal="center"/>
    </xf>
    <xf numFmtId="0" fontId="27" fillId="9" borderId="46" xfId="5" applyFont="1" applyFill="1" applyBorder="1"/>
    <xf numFmtId="0" fontId="27" fillId="9" borderId="10" xfId="5" applyFont="1" applyFill="1" applyBorder="1"/>
    <xf numFmtId="0" fontId="26" fillId="0" borderId="41" xfId="11" applyFont="1" applyBorder="1" applyAlignment="1">
      <alignment horizontal="center" wrapText="1"/>
    </xf>
    <xf numFmtId="0" fontId="31" fillId="0" borderId="30" xfId="0" applyFont="1" applyBorder="1" applyAlignment="1">
      <alignment vertical="top" wrapText="1"/>
    </xf>
    <xf numFmtId="0" fontId="31" fillId="0" borderId="31" xfId="0" applyFont="1" applyBorder="1" applyAlignment="1">
      <alignment vertical="top" wrapText="1"/>
    </xf>
    <xf numFmtId="0" fontId="30" fillId="0" borderId="31" xfId="0" applyFont="1" applyBorder="1" applyAlignment="1">
      <alignment wrapText="1"/>
    </xf>
    <xf numFmtId="0" fontId="31" fillId="0" borderId="13" xfId="0" applyFont="1" applyBorder="1" applyAlignment="1">
      <alignment vertical="top" wrapText="1"/>
    </xf>
    <xf numFmtId="0" fontId="31" fillId="0" borderId="28" xfId="0" applyFont="1" applyBorder="1" applyAlignment="1">
      <alignment vertical="top" wrapText="1"/>
    </xf>
    <xf numFmtId="0" fontId="31" fillId="0" borderId="29" xfId="0" applyFont="1" applyBorder="1" applyAlignment="1">
      <alignment vertical="top" wrapText="1"/>
    </xf>
    <xf numFmtId="0" fontId="30" fillId="0" borderId="13" xfId="0" applyFont="1" applyBorder="1" applyAlignment="1">
      <alignment vertical="center" wrapText="1"/>
    </xf>
    <xf numFmtId="0" fontId="30" fillId="0" borderId="28" xfId="0" applyFont="1" applyBorder="1" applyAlignment="1">
      <alignment vertical="center" wrapText="1"/>
    </xf>
    <xf numFmtId="0" fontId="30" fillId="0" borderId="29" xfId="0" applyFont="1" applyBorder="1" applyAlignment="1">
      <alignment vertical="center" wrapText="1"/>
    </xf>
    <xf numFmtId="0" fontId="30" fillId="0" borderId="31" xfId="0" applyFont="1" applyBorder="1" applyAlignment="1">
      <alignment horizontal="left" vertical="center" wrapText="1"/>
    </xf>
    <xf numFmtId="0" fontId="30" fillId="0" borderId="31" xfId="0" applyFont="1" applyBorder="1" applyAlignment="1">
      <alignment horizontal="left" wrapText="1"/>
    </xf>
    <xf numFmtId="0" fontId="30" fillId="0" borderId="0" xfId="0" applyFont="1"/>
    <xf numFmtId="0" fontId="32" fillId="8" borderId="27" xfId="0" applyFont="1" applyFill="1" applyBorder="1" applyAlignment="1">
      <alignment horizontal="right" wrapText="1"/>
    </xf>
    <xf numFmtId="0" fontId="32" fillId="8" borderId="30" xfId="0" applyFont="1" applyFill="1" applyBorder="1" applyAlignment="1">
      <alignment horizontal="right" wrapText="1"/>
    </xf>
    <xf numFmtId="0" fontId="32" fillId="8" borderId="31" xfId="0" applyFont="1" applyFill="1" applyBorder="1" applyAlignment="1">
      <alignment horizontal="right" wrapText="1"/>
    </xf>
    <xf numFmtId="0" fontId="32" fillId="8" borderId="30" xfId="0" applyFont="1" applyFill="1" applyBorder="1" applyAlignment="1">
      <alignment horizontal="right" vertical="top" wrapText="1"/>
    </xf>
  </cellXfs>
  <cellStyles count="30">
    <cellStyle name="60% - Accent3 2" xfId="16"/>
    <cellStyle name="60% — акцент3 2" xfId="4"/>
    <cellStyle name="60% — акцент3 2 2" xfId="10"/>
    <cellStyle name="60% — акцент3 2 2 2" xfId="27"/>
    <cellStyle name="60% — акцент3 2 3" xfId="23"/>
    <cellStyle name="60% — акцент3 3" xfId="8"/>
    <cellStyle name="60% — акцент3 3 2" xfId="25"/>
    <cellStyle name="60% — акцент3 4" xfId="13"/>
    <cellStyle name="Normal 2" xfId="14"/>
    <cellStyle name="Normal 3" xfId="17"/>
    <cellStyle name="Normal 4" xfId="18"/>
    <cellStyle name="Normal 5" xfId="19"/>
    <cellStyle name="Normal 6" xfId="20"/>
    <cellStyle name="Normal 7" xfId="21"/>
    <cellStyle name="Normal 8" xfId="22"/>
    <cellStyle name="Обычный" xfId="0" builtinId="0"/>
    <cellStyle name="Обычный 2" xfId="1"/>
    <cellStyle name="Обычный 2 2" xfId="3"/>
    <cellStyle name="Обычный 2 2 2" xfId="9"/>
    <cellStyle name="Обычный 2 2 2 2" xfId="26"/>
    <cellStyle name="Обычный 2 2 3" xfId="15"/>
    <cellStyle name="Обычный 2 3" xfId="7"/>
    <cellStyle name="Обычный 2 3 2" xfId="24"/>
    <cellStyle name="Обычный 2 4" xfId="12"/>
    <cellStyle name="Обычный 3" xfId="2"/>
    <cellStyle name="Обычный 4" xfId="5"/>
    <cellStyle name="Обычный 5" xfId="6"/>
    <cellStyle name="Обычный 6" xfId="11"/>
    <cellStyle name="Обычный 7" xfId="28"/>
    <cellStyle name="Обычный_Чек-лист" xfId="2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001"/>
  <sheetViews>
    <sheetView topLeftCell="A13" zoomScaleNormal="100" workbookViewId="0">
      <selection activeCell="I14" sqref="I14"/>
    </sheetView>
  </sheetViews>
  <sheetFormatPr defaultColWidth="14.42578125" defaultRowHeight="15" customHeight="1" x14ac:dyDescent="0.25"/>
  <cols>
    <col min="1" max="1" width="44.5703125" customWidth="1"/>
    <col min="2" max="2" width="13" customWidth="1"/>
    <col min="3" max="3" width="33" customWidth="1"/>
    <col min="4" max="4" width="9.140625" customWidth="1"/>
    <col min="5" max="5" width="24.85546875" customWidth="1"/>
    <col min="6" max="6" width="18.140625" customWidth="1"/>
    <col min="7" max="7" width="19.5703125" customWidth="1"/>
    <col min="8" max="8" width="13" customWidth="1"/>
    <col min="9" max="28" width="9.140625" customWidth="1"/>
  </cols>
  <sheetData>
    <row r="1" spans="1:28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23.25" x14ac:dyDescent="0.35">
      <c r="B2" s="2"/>
      <c r="C2" s="13" t="s">
        <v>32</v>
      </c>
      <c r="D2" s="2"/>
      <c r="E2" s="2"/>
      <c r="F2" s="2"/>
      <c r="G2" s="2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5.75" x14ac:dyDescent="0.25">
      <c r="A3" s="3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x14ac:dyDescent="0.25">
      <c r="A4" s="4" t="s">
        <v>63</v>
      </c>
      <c r="B4" s="4"/>
      <c r="C4" s="4"/>
      <c r="D4" s="4"/>
      <c r="E4" s="4"/>
      <c r="F4" s="4"/>
      <c r="G4" s="4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 x14ac:dyDescent="0.25">
      <c r="A5" s="4"/>
      <c r="B5" s="4"/>
      <c r="C5" s="4"/>
      <c r="D5" s="4"/>
      <c r="E5" s="4"/>
      <c r="F5" s="4"/>
      <c r="G5" s="4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28" x14ac:dyDescent="0.25">
      <c r="A6" s="27" t="s">
        <v>64</v>
      </c>
      <c r="B6" s="4"/>
      <c r="C6" s="4"/>
      <c r="D6" s="4"/>
      <c r="E6" s="4"/>
      <c r="F6" s="4"/>
      <c r="G6" s="4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28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spans="1:28" x14ac:dyDescent="0.25">
      <c r="A8" s="1" t="s">
        <v>1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spans="1:28" ht="45" customHeight="1" x14ac:dyDescent="0.25">
      <c r="A9" s="31" t="s">
        <v>2</v>
      </c>
      <c r="B9" s="31" t="s">
        <v>83</v>
      </c>
      <c r="C9" s="31" t="s">
        <v>3</v>
      </c>
      <c r="D9" s="31" t="s">
        <v>84</v>
      </c>
      <c r="E9" s="31" t="s">
        <v>4</v>
      </c>
      <c r="F9" s="31" t="s">
        <v>5</v>
      </c>
      <c r="G9" s="31" t="s">
        <v>6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8" ht="75" x14ac:dyDescent="0.25">
      <c r="A10" s="32" t="s">
        <v>65</v>
      </c>
      <c r="B10" s="5">
        <v>1</v>
      </c>
      <c r="C10" s="32" t="s">
        <v>71</v>
      </c>
      <c r="D10" s="33">
        <v>0.5</v>
      </c>
      <c r="E10" s="49" t="s">
        <v>208</v>
      </c>
      <c r="F10" s="54" t="s">
        <v>86</v>
      </c>
      <c r="G10" s="54" t="s">
        <v>87</v>
      </c>
      <c r="H10" s="6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8" ht="45" x14ac:dyDescent="0.25">
      <c r="A11" s="32" t="s">
        <v>66</v>
      </c>
      <c r="B11" s="5">
        <v>1</v>
      </c>
      <c r="C11" s="32" t="s">
        <v>72</v>
      </c>
      <c r="D11" s="33">
        <v>0.5</v>
      </c>
      <c r="E11" s="50" t="s">
        <v>209</v>
      </c>
      <c r="F11" s="54" t="s">
        <v>86</v>
      </c>
      <c r="G11" s="54" t="s">
        <v>87</v>
      </c>
      <c r="H11" s="6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</row>
    <row r="12" spans="1:28" ht="45" x14ac:dyDescent="0.25">
      <c r="A12" s="32" t="s">
        <v>67</v>
      </c>
      <c r="B12" s="12">
        <v>2</v>
      </c>
      <c r="C12" s="32" t="s">
        <v>73</v>
      </c>
      <c r="D12" s="33">
        <v>0.2</v>
      </c>
      <c r="E12" s="49" t="s">
        <v>209</v>
      </c>
      <c r="F12" s="54" t="s">
        <v>86</v>
      </c>
      <c r="G12" s="54" t="s">
        <v>85</v>
      </c>
      <c r="H12" s="6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8" ht="45" x14ac:dyDescent="0.25">
      <c r="A13" s="35" t="s">
        <v>68</v>
      </c>
      <c r="B13" s="28">
        <v>2</v>
      </c>
      <c r="C13" s="35" t="s">
        <v>74</v>
      </c>
      <c r="D13" s="36">
        <v>0.5</v>
      </c>
      <c r="E13" s="51" t="s">
        <v>209</v>
      </c>
      <c r="F13" s="55" t="s">
        <v>85</v>
      </c>
      <c r="G13" s="55" t="s">
        <v>86</v>
      </c>
      <c r="H13" s="6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8" ht="90" x14ac:dyDescent="0.25">
      <c r="A14" s="37" t="s">
        <v>69</v>
      </c>
      <c r="B14" s="30">
        <v>2</v>
      </c>
      <c r="C14" s="37" t="s">
        <v>75</v>
      </c>
      <c r="D14" s="38">
        <v>0.5</v>
      </c>
      <c r="E14" s="52" t="s">
        <v>209</v>
      </c>
      <c r="F14" s="52" t="s">
        <v>85</v>
      </c>
      <c r="G14" s="52" t="s">
        <v>88</v>
      </c>
      <c r="H14" s="29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8" ht="57.75" customHeight="1" x14ac:dyDescent="0.25">
      <c r="A15" s="40" t="s">
        <v>76</v>
      </c>
      <c r="B15" s="41">
        <v>2</v>
      </c>
      <c r="C15" s="42" t="s">
        <v>77</v>
      </c>
      <c r="D15" s="43">
        <v>0.3</v>
      </c>
      <c r="E15" s="56" t="s">
        <v>208</v>
      </c>
      <c r="F15" s="56" t="s">
        <v>85</v>
      </c>
      <c r="G15" s="56" t="s">
        <v>88</v>
      </c>
      <c r="H15" s="15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8" ht="90" x14ac:dyDescent="0.25">
      <c r="A16" s="40" t="s">
        <v>80</v>
      </c>
      <c r="B16" s="41">
        <v>2</v>
      </c>
      <c r="C16" s="42" t="s">
        <v>78</v>
      </c>
      <c r="D16" s="43">
        <v>0.2</v>
      </c>
      <c r="E16" s="56" t="s">
        <v>208</v>
      </c>
      <c r="F16" s="56" t="s">
        <v>85</v>
      </c>
      <c r="G16" s="56" t="s">
        <v>86</v>
      </c>
      <c r="H16" s="7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spans="1:28" ht="42.75" customHeight="1" x14ac:dyDescent="0.25">
      <c r="A17" s="40" t="s">
        <v>70</v>
      </c>
      <c r="B17" s="30">
        <v>2</v>
      </c>
      <c r="C17" s="42" t="s">
        <v>82</v>
      </c>
      <c r="D17" s="43">
        <v>0.2</v>
      </c>
      <c r="E17" s="56" t="s">
        <v>209</v>
      </c>
      <c r="F17" s="56" t="s">
        <v>86</v>
      </c>
      <c r="G17" s="56" t="s">
        <v>85</v>
      </c>
      <c r="H17" s="7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spans="1:28" ht="90" x14ac:dyDescent="0.25">
      <c r="A18" s="39" t="s">
        <v>81</v>
      </c>
      <c r="B18" s="44">
        <v>2</v>
      </c>
      <c r="C18" s="39" t="s">
        <v>79</v>
      </c>
      <c r="D18" s="38">
        <v>0.5</v>
      </c>
      <c r="E18" s="52" t="s">
        <v>209</v>
      </c>
      <c r="F18" s="52" t="s">
        <v>86</v>
      </c>
      <c r="G18" s="52" t="s">
        <v>85</v>
      </c>
      <c r="H18" s="7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spans="1:28" x14ac:dyDescent="0.25">
      <c r="A19" s="45" t="s">
        <v>7</v>
      </c>
      <c r="B19" s="46"/>
      <c r="C19" s="47"/>
      <c r="D19" s="34">
        <f>SUM(D10:D18)</f>
        <v>3.4000000000000004</v>
      </c>
      <c r="E19" s="53"/>
      <c r="F19" s="34"/>
      <c r="G19" s="48"/>
      <c r="H19" s="7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spans="1:28" x14ac:dyDescent="0.25">
      <c r="A20" s="7"/>
      <c r="B20" s="7"/>
      <c r="C20" s="7"/>
      <c r="D20" s="7"/>
      <c r="E20" s="7"/>
      <c r="F20" s="7"/>
      <c r="G20" s="7"/>
      <c r="H20" s="7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spans="1:28" x14ac:dyDescent="0.25">
      <c r="A21" s="7"/>
      <c r="B21" s="1"/>
      <c r="C21" s="1"/>
      <c r="D21" s="1"/>
      <c r="E21" s="1"/>
      <c r="F21" s="1"/>
      <c r="G21" s="7"/>
      <c r="H21" s="7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spans="1:28" ht="15.75" customHeight="1" x14ac:dyDescent="0.25">
      <c r="A22" s="7"/>
      <c r="B22" s="7"/>
      <c r="C22" s="7"/>
      <c r="D22" s="7"/>
      <c r="E22" s="7"/>
      <c r="F22" s="7"/>
      <c r="G22" s="7"/>
      <c r="H22" s="7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spans="1:28" ht="15.75" customHeight="1" x14ac:dyDescent="0.25">
      <c r="A23" s="7"/>
      <c r="B23" s="7"/>
      <c r="C23" s="7"/>
      <c r="D23" s="7"/>
      <c r="E23" s="7"/>
      <c r="F23" s="7"/>
      <c r="G23" s="7"/>
      <c r="H23" s="7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spans="1:28" ht="15.75" customHeight="1" x14ac:dyDescent="0.25">
      <c r="A24" s="7"/>
      <c r="B24" s="7"/>
      <c r="C24" s="7"/>
      <c r="D24" s="7"/>
      <c r="E24" s="7"/>
      <c r="F24" s="7"/>
      <c r="G24" s="7"/>
      <c r="H24" s="7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spans="1:28" ht="15.75" customHeight="1" x14ac:dyDescent="0.25">
      <c r="A25" s="7"/>
      <c r="B25" s="7"/>
      <c r="C25" s="7"/>
      <c r="D25" s="7"/>
      <c r="E25" s="7"/>
      <c r="F25" s="7"/>
      <c r="G25" s="7"/>
      <c r="H25" s="7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spans="1:28" ht="15.7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spans="1:28" ht="15.7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spans="1:28" ht="15.7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spans="1:28" ht="15.7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spans="1:28" ht="15.7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spans="1:28" ht="15.7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spans="1:28" ht="15.7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spans="1:28" ht="15.7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spans="1:28" ht="15.7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spans="1:28" ht="15.7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spans="1:28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spans="1:28" ht="15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spans="1:28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spans="1:28" ht="15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spans="1:28" ht="15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spans="1:28" ht="15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spans="1:28" ht="15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spans="1:28" ht="15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spans="1:28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spans="1:28" ht="15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spans="1:28" ht="15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spans="1:28" ht="15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spans="1:28" ht="15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spans="1:28" ht="15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spans="1:28" ht="15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spans="1:28" ht="15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spans="1:28" ht="15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spans="1:28" ht="15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spans="1:28" ht="15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spans="1:28" ht="15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spans="1:28" ht="15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spans="1:28" ht="15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spans="1:28" ht="15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spans="1:28" ht="15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spans="1:28" ht="15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spans="1:28" ht="15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spans="1:28" ht="15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spans="1:28" ht="15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spans="1:28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spans="1:28" ht="15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spans="1:28" ht="15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spans="1:28" ht="15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spans="1:28" ht="15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spans="1:28" ht="15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spans="1:28" ht="15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spans="1:28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spans="1:28" ht="15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spans="1:28" ht="15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spans="1:28" ht="15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spans="1:28" ht="15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spans="1:28" ht="15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spans="1:28" ht="15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spans="1:28" ht="15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spans="1:28" ht="15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spans="1:28" ht="15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spans="1:28" ht="15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spans="1:28" ht="15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1:28" ht="15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1:28" ht="15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spans="1:28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spans="1:28" ht="15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spans="1:28" ht="15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spans="1:28" ht="15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spans="1:28" ht="15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spans="1:28" ht="15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spans="1:28" ht="15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spans="1:28" ht="15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spans="1:28" ht="15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spans="1:28" ht="15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spans="1:28" ht="15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spans="1:28" ht="15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spans="1:28" ht="15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spans="1:28" ht="15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spans="1:28" ht="15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spans="1:28" ht="15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spans="1:28" ht="15.7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spans="1:28" ht="15.7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spans="1:28" ht="15.7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spans="1:28" ht="15.7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spans="1:28" ht="15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spans="1:28" ht="15.7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spans="1:28" ht="15.7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spans="1:28" ht="15.7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spans="1:28" ht="15.7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spans="1:28" ht="15.7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spans="1:28" ht="15.7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spans="1:28" ht="15.7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spans="1:28" ht="15.7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spans="1:28" ht="15.7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spans="1:28" ht="15.7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spans="1:28" ht="15.7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spans="1:28" ht="15.7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spans="1:28" ht="15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spans="1:28" ht="15.7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spans="1:28" ht="15.7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spans="1:28" ht="15.7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spans="1:28" ht="15.7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spans="1:28" ht="15.7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spans="1:28" ht="15.7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spans="1:28" ht="15.7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spans="1:28" ht="15.7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spans="1:28" ht="15.7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spans="1:28" ht="15.7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spans="1:28" ht="15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spans="1:28" ht="15.7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spans="1:28" ht="15.7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spans="1:28" ht="15.7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spans="1:28" ht="15.7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spans="1:28" ht="15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spans="1:28" ht="15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spans="1:28" ht="15.7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spans="1:28" ht="15.7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spans="1:28" ht="15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spans="1:28" ht="15.7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spans="1:28" ht="15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spans="1:28" ht="15.7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spans="1:28" ht="15.7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spans="1:28" ht="15.7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spans="1:28" ht="15.7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spans="1:28" ht="15.7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spans="1:28" ht="15.7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spans="1:28" ht="15.7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spans="1:28" ht="15.7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spans="1:28" ht="15.7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spans="1:28" ht="15.7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spans="1:28" ht="15.7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spans="1:28" ht="15.7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spans="1:28" ht="15.7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spans="1:28" ht="15.7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spans="1:28" ht="15.7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spans="1:28" ht="15.7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spans="1:28" ht="15.7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spans="1:28" ht="15.7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spans="1:28" ht="15.7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spans="1:28" ht="15.7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spans="1:28" ht="15.7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spans="1:28" ht="15.7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spans="1:28" ht="15.7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spans="1:28" ht="15.7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spans="1:28" ht="15.7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spans="1:28" ht="15.7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spans="1:28" ht="15.7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spans="1:28" ht="15.7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spans="1:28" ht="15.7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spans="1:28" ht="15.7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spans="1:28" ht="15.7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spans="1:28" ht="15.7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spans="1:28" ht="15.7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spans="1:28" ht="15.7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spans="1:28" ht="15.7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spans="1:28" ht="15.7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spans="1:28" ht="15.7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spans="1:28" ht="15.7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spans="1:28" ht="15.7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spans="1:28" ht="15.7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spans="1:28" ht="15.7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spans="1:28" ht="15.7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spans="1:28" ht="15.7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spans="1:28" ht="15.7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spans="1:28" ht="15.7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spans="1:28" ht="15.7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spans="1:28" ht="15.7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spans="1:28" ht="15.7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spans="1:28" ht="15.7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spans="1:28" ht="15.7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spans="1:28" ht="15.7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spans="1:28" ht="15.7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spans="1:28" ht="15.7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spans="1:28" ht="15.7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spans="1:28" ht="15.7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spans="1:28" ht="15.7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spans="1:28" ht="15.7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spans="1:28" ht="15.7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spans="1:28" ht="15.7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spans="1:28" ht="15.7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spans="1:28" ht="15.7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spans="1:28" ht="15.7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spans="1:28" ht="15.7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spans="1:28" ht="15.7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spans="1:28" ht="15.7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spans="1:28" ht="15.7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spans="1:28" ht="15.7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spans="1:28" ht="15.7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spans="1:28" ht="15.7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spans="1:28" ht="15.7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spans="1:28" ht="15.7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spans="1:28" ht="15.7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spans="1:28" ht="15.7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spans="1:28" ht="15.7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spans="1:28" ht="15.7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spans="1:28" ht="15.7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spans="1:28" ht="15.7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spans="1:28" ht="15.7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spans="1:28" ht="15.7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spans="1:28" ht="15.7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spans="1:28" ht="15.7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spans="1:28" ht="15.7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spans="1:28" ht="15.7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spans="1:28" ht="15.7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spans="1:28" ht="15.7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spans="1:28" ht="15.7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spans="1:28" ht="15.7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spans="1:28" ht="15.7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spans="1:28" ht="15.7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spans="1:28" ht="15.7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spans="1:28" ht="15.7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spans="1:28" ht="15.7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spans="1:28" ht="15.7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spans="1:28" ht="15.7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spans="1:28" ht="15.7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spans="1:28" ht="15.7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spans="1:28" ht="15.7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spans="1:28" ht="15.7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spans="1:28" ht="15.7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spans="1:28" ht="15.7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spans="1:28" ht="15.7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spans="1:28" ht="15.7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spans="1:28" ht="15.7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spans="1:28" ht="15.7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spans="1:28" ht="15.7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spans="1:28" ht="15.7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spans="1:28" ht="15.7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spans="1:28" ht="15.7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spans="1:28" ht="15.7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spans="1:28" ht="15.7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spans="1:28" ht="15.7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spans="1:28" ht="15.7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spans="1:28" ht="15.7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spans="1:28" ht="15.7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spans="1:28" ht="15.7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 spans="1:28" ht="15.7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 spans="1:28" ht="15.7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 spans="1:28" ht="15.7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 spans="1:28" ht="15.7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 spans="1:28" ht="15.7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 spans="1:28" ht="15.7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 spans="1:28" ht="15.7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 spans="1:28" ht="15.7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 spans="1:28" ht="15.7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 spans="1:28" ht="15.7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 spans="1:28" ht="15.7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 spans="1:28" ht="15.7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 spans="1:28" ht="15.7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 spans="1:28" ht="15.7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 spans="1:28" ht="15.7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 spans="1:28" ht="15.7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 spans="1:28" ht="15.7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 spans="1:28" ht="15.7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 spans="1:28" ht="15.7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 spans="1:28" ht="15.7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 spans="1:28" ht="15.7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 spans="1:28" ht="15.7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 spans="1:28" ht="15.7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 spans="1:28" ht="15.7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 spans="1:28" ht="15.7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 spans="1:28" ht="15.7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 spans="1:28" ht="15.7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 spans="1:28" ht="15.7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 spans="1:28" ht="15.7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 spans="1:28" ht="15.7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 spans="1:28" ht="15.7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 spans="1:28" ht="15.7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 spans="1:28" ht="15.7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 spans="1:28" ht="15.7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 spans="1:28" ht="15.7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 spans="1:28" ht="15.7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 spans="1:28" ht="15.7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 spans="1:28" ht="15.7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 spans="1:28" ht="15.7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 spans="1:28" ht="15.7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 spans="1:28" ht="15.7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 spans="1:28" ht="15.7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 spans="1:28" ht="15.7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 spans="1:28" ht="15.7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 spans="1:28" ht="15.7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 spans="1:28" ht="15.7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 spans="1:28" ht="15.7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 spans="1:28" ht="15.7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 spans="1:28" ht="15.7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 spans="1:28" ht="15.7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 spans="1:28" ht="15.7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 spans="1:28" ht="15.7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 spans="1:28" ht="15.7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 spans="1:28" ht="15.7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 spans="1:28" ht="15.7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 spans="1:28" ht="15.7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 spans="1:28" ht="15.7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 spans="1:28" ht="15.7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 spans="1:28" ht="15.7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 spans="1:28" ht="15.7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 spans="1:28" ht="15.7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 spans="1:28" ht="15.7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 spans="1:28" ht="15.7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 spans="1:28" ht="15.7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 spans="1:28" ht="15.7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 spans="1:28" ht="15.7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 spans="1:28" ht="15.7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 spans="1:28" ht="15.7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 spans="1:28" ht="15.7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 spans="1:28" ht="15.7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 spans="1:28" ht="15.7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 spans="1:28" ht="15.7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 spans="1:28" ht="15.7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 spans="1:28" ht="15.7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 spans="1:28" ht="15.7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 spans="1:28" ht="15.7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 spans="1:28" ht="15.7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 spans="1:28" ht="15.7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 spans="1:28" ht="15.7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 spans="1:28" ht="15.7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 spans="1:28" ht="15.7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 spans="1:28" ht="15.7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 spans="1:28" ht="15.7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 spans="1:28" ht="15.7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 spans="1:28" ht="15.7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 spans="1:28" ht="15.7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 spans="1:28" ht="15.7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 spans="1:28" ht="15.7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 spans="1:28" ht="15.7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 spans="1:28" ht="15.7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 spans="1:28" ht="15.7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 spans="1:28" ht="15.7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 spans="1:28" ht="15.7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 spans="1:28" ht="15.7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 spans="1:28" ht="15.7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 spans="1:28" ht="15.7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 spans="1:28" ht="15.7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 spans="1:28" ht="15.7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 spans="1:28" ht="15.7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 spans="1:28" ht="15.7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 spans="1:28" ht="15.7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 spans="1:28" ht="15.7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 spans="1:28" ht="15.7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 spans="1:28" ht="15.7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 spans="1:28" ht="15.7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 spans="1:28" ht="15.7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 spans="1:28" ht="15.7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 spans="1:28" ht="15.7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 spans="1:28" ht="15.7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 spans="1:28" ht="15.7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 spans="1:28" ht="15.7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 spans="1:28" ht="15.7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 spans="1:28" ht="15.7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 spans="1:28" ht="15.7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 spans="1:28" ht="15.7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 spans="1:28" ht="15.7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 spans="1:28" ht="15.7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 spans="1:28" ht="15.7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 spans="1:28" ht="15.7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 spans="1:28" ht="15.7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 spans="1:28" ht="15.7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 spans="1:28" ht="15.7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 spans="1:28" ht="15.7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 spans="1:28" ht="15.7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 spans="1:28" ht="15.7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 spans="1:28" ht="15.7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 spans="1:28" ht="15.7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 spans="1:28" ht="15.7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 spans="1:28" ht="15.7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 spans="1:28" ht="15.7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 spans="1:28" ht="15.7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 spans="1:28" ht="15.7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 spans="1:28" ht="15.7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 spans="1:28" ht="15.7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 spans="1:28" ht="15.7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 spans="1:28" ht="15.7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 spans="1:28" ht="15.7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 spans="1:28" ht="15.7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 spans="1:28" ht="15.7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 spans="1:28" ht="15.7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 spans="1:28" ht="15.7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 spans="1:28" ht="15.7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 spans="1:28" ht="15.7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 spans="1:28" ht="15.7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 spans="1:28" ht="15.7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 spans="1:28" ht="15.7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 spans="1:28" ht="15.7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 spans="1:28" ht="15.7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 spans="1:28" ht="15.7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 spans="1:28" ht="15.7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 spans="1:28" ht="15.7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 spans="1:28" ht="15.7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 spans="1:28" ht="15.7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 spans="1:28" ht="15.7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 spans="1:28" ht="15.7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 spans="1:28" ht="15.7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 spans="1:28" ht="15.7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 spans="1:28" ht="15.7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 spans="1:28" ht="15.7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 spans="1:28" ht="15.7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 spans="1:28" ht="15.7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 spans="1:28" ht="15.7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 spans="1:28" ht="15.7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 spans="1:28" ht="15.7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 spans="1:28" ht="15.7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 spans="1:28" ht="15.7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 spans="1:28" ht="15.7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 spans="1:28" ht="15.7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 spans="1:28" ht="15.7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 spans="1:28" ht="15.7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 spans="1:28" ht="15.7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 spans="1:28" ht="15.7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 spans="1:28" ht="15.7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 spans="1:28" ht="15.7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 spans="1:28" ht="15.7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 spans="1:28" ht="15.7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 spans="1:28" ht="15.7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 spans="1:28" ht="15.7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 spans="1:28" ht="15.7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 spans="1:28" ht="15.7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 spans="1:28" ht="15.7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 spans="1:28" ht="15.7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 spans="1:28" ht="15.7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 spans="1:28" ht="15.7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 spans="1:28" ht="15.7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 spans="1:28" ht="15.7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 spans="1:28" ht="15.7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 spans="1:28" ht="15.7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 spans="1:28" ht="15.7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 spans="1:28" ht="15.7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 spans="1:28" ht="15.7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 spans="1:28" ht="15.7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 spans="1:28" ht="15.7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 spans="1:28" ht="15.7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 spans="1:28" ht="15.7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 spans="1:28" ht="15.7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 spans="1:28" ht="15.7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 spans="1:28" ht="15.7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 spans="1:28" ht="15.7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 spans="1:28" ht="15.7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 spans="1:28" ht="15.7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 spans="1:28" ht="15.7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 spans="1:28" ht="15.7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 spans="1:28" ht="15.7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 spans="1:28" ht="15.7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 spans="1:28" ht="15.7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 spans="1:28" ht="15.7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 spans="1:28" ht="15.7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 spans="1:28" ht="15.7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 spans="1:28" ht="15.7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 spans="1:28" ht="15.7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 spans="1:28" ht="15.7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 spans="1:28" ht="15.7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 spans="1:28" ht="15.7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 spans="1:28" ht="15.7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 spans="1:28" ht="15.7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 spans="1:28" ht="15.7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 spans="1:28" ht="15.7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 spans="1:28" ht="15.7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 spans="1:28" ht="15.7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 spans="1:28" ht="15.7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 spans="1:28" ht="15.7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 spans="1:28" ht="15.7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 spans="1:28" ht="15.7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 spans="1:28" ht="15.7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 spans="1:28" ht="15.7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 spans="1:28" ht="15.7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 spans="1:28" ht="15.7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 spans="1:28" ht="15.7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 spans="1:28" ht="15.7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 spans="1:28" ht="15.7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 spans="1:28" ht="15.7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 spans="1:28" ht="15.7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 spans="1:28" ht="15.7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 spans="1:28" ht="15.7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 spans="1:28" ht="15.7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 spans="1:28" ht="15.7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 spans="1:28" ht="15.7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 spans="1:28" ht="15.7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 spans="1:28" ht="15.7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 spans="1:28" ht="15.7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 spans="1:28" ht="15.7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 spans="1:28" ht="15.7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 spans="1:28" ht="15.7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 spans="1:28" ht="15.7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 spans="1:28" ht="15.7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 spans="1:28" ht="15.7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 spans="1:28" ht="15.7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 spans="1:28" ht="15.7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 spans="1:28" ht="15.7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 spans="1:28" ht="15.7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 spans="1:28" ht="15.7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 spans="1:28" ht="15.7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 spans="1:28" ht="15.7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 spans="1:28" ht="15.7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 spans="1:28" ht="15.7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 spans="1:28" ht="15.7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 spans="1:28" ht="15.7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 spans="1:28" ht="15.7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 spans="1:28" ht="15.7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 spans="1:28" ht="15.7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 spans="1:28" ht="15.7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 spans="1:28" ht="15.7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 spans="1:28" ht="15.7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 spans="1:28" ht="15.7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 spans="1:28" ht="15.7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 spans="1:28" ht="15.7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 spans="1:28" ht="15.7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 spans="1:28" ht="15.7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 spans="1:28" ht="15.7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 spans="1:28" ht="15.7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 spans="1:28" ht="15.7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 spans="1:28" ht="15.7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 spans="1:28" ht="15.7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 spans="1:28" ht="15.7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 spans="1:28" ht="15.7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 spans="1:28" ht="15.7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 spans="1:28" ht="15.7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 spans="1:28" ht="15.7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 spans="1:28" ht="15.7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 spans="1:28" ht="15.7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 spans="1:28" ht="15.7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 spans="1:28" ht="15.7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 spans="1:28" ht="15.7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 spans="1:28" ht="15.7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 spans="1:28" ht="15.7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 spans="1:28" ht="15.7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 spans="1:28" ht="15.7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 spans="1:28" ht="15.7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 spans="1:28" ht="15.7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 spans="1:28" ht="15.7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 spans="1:28" ht="15.7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 spans="1:28" ht="15.7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 spans="1:28" ht="15.7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 spans="1:28" ht="15.7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 spans="1:28" ht="15.7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 spans="1:28" ht="15.7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 spans="1:28" ht="15.7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 spans="1:28" ht="15.7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 spans="1:28" ht="15.7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 spans="1:28" ht="15.7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 spans="1:28" ht="15.7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 spans="1:28" ht="15.7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 spans="1:28" ht="15.7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 spans="1:28" ht="15.7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 spans="1:28" ht="15.7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 spans="1:28" ht="15.7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 spans="1:28" ht="15.7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 spans="1:28" ht="15.7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 spans="1:28" ht="15.7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 spans="1:28" ht="15.7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 spans="1:28" ht="15.7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 spans="1:28" ht="15.7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 spans="1:28" ht="15.7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 spans="1:28" ht="15.7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 spans="1:28" ht="15.7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 spans="1:28" ht="15.7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 spans="1:28" ht="15.7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 spans="1:28" ht="15.7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 spans="1:28" ht="15.7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 spans="1:28" ht="15.7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 spans="1:28" ht="15.7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 spans="1:28" ht="15.7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 spans="1:28" ht="15.7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 spans="1:28" ht="15.7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 spans="1:28" ht="15.7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 spans="1:28" ht="15.7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 spans="1:28" ht="15.7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 spans="1:28" ht="15.7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 spans="1:28" ht="15.7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 spans="1:28" ht="15.7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 spans="1:28" ht="15.7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 spans="1:28" ht="15.7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 spans="1:28" ht="15.7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 spans="1:28" ht="15.7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 spans="1:28" ht="15.7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 spans="1:28" ht="15.7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 spans="1:28" ht="15.7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 spans="1:28" ht="15.7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 spans="1:28" ht="15.7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 spans="1:28" ht="15.7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 spans="1:28" ht="15.7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 spans="1:28" ht="15.7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 spans="1:28" ht="15.7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 spans="1:28" ht="15.7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 spans="1:28" ht="15.7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 spans="1:28" ht="15.7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 spans="1:28" ht="15.7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 spans="1:28" ht="15.7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 spans="1:28" ht="15.7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 spans="1:28" ht="15.7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 spans="1:28" ht="15.7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 spans="1:28" ht="15.7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 spans="1:28" ht="15.7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 spans="1:28" ht="15.7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 spans="1:28" ht="15.7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 spans="1:28" ht="15.7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 spans="1:28" ht="15.7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 spans="1:28" ht="15.7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 spans="1:28" ht="15.7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 spans="1:28" ht="15.7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 spans="1:28" ht="15.7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 spans="1:28" ht="15.7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 spans="1:28" ht="15.7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 spans="1:28" ht="15.7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 spans="1:28" ht="15.7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 spans="1:28" ht="15.7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 spans="1:28" ht="15.7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 spans="1:28" ht="15.7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 spans="1:28" ht="15.7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 spans="1:28" ht="15.7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 spans="1:28" ht="15.7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 spans="1:28" ht="15.7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 spans="1:28" ht="15.7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 spans="1:28" ht="15.7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 spans="1:28" ht="15.7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 spans="1:28" ht="15.7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 spans="1:28" ht="15.7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 spans="1:28" ht="15.7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 spans="1:28" ht="15.7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 spans="1:28" ht="15.7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 spans="1:28" ht="15.7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 spans="1:28" ht="15.7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 spans="1:28" ht="15.7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 spans="1:28" ht="15.7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 spans="1:28" ht="15.7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 spans="1:28" ht="15.7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 spans="1:28" ht="15.7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 spans="1:28" ht="15.7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 spans="1:28" ht="15.7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 spans="1:28" ht="15.7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 spans="1:28" ht="15.7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 spans="1:28" ht="15.7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 spans="1:28" ht="15.7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 spans="1:28" ht="15.7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 spans="1:28" ht="15.7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 spans="1:28" ht="15.7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 spans="1:28" ht="15.7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 spans="1:28" ht="15.7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 spans="1:28" ht="15.7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 spans="1:28" ht="15.7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 spans="1:28" ht="15.7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 spans="1:28" ht="15.7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 spans="1:28" ht="15.7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 spans="1:28" ht="15.7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 spans="1:28" ht="15.7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 spans="1:28" ht="15.7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 spans="1:28" ht="15.7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 spans="1:28" ht="15.7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 spans="1:28" ht="15.7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 spans="1:28" ht="15.7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 spans="1:28" ht="15.7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 spans="1:28" ht="15.7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 spans="1:28" ht="15.7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 spans="1:28" ht="15.7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 spans="1:28" ht="15.7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 spans="1:28" ht="15.7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 spans="1:28" ht="15.7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 spans="1:28" ht="15.7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 spans="1:28" ht="15.7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 spans="1:28" ht="15.7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 spans="1:28" ht="15.7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 spans="1:28" ht="15.7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 spans="1:28" ht="15.7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 spans="1:28" ht="15.7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 spans="1:28" ht="15.7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 spans="1:28" ht="15.7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 spans="1:28" ht="15.7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 spans="1:28" ht="15.7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 spans="1:28" ht="15.7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 spans="1:28" ht="15.7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 spans="1:28" ht="15.7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 spans="1:28" ht="15.7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 spans="1:28" ht="15.7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 spans="1:28" ht="15.7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 spans="1:28" ht="15.7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 spans="1:28" ht="15.7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 spans="1:28" ht="15.7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 spans="1:28" ht="15.7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 spans="1:28" ht="15.7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 spans="1:28" ht="15.7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 spans="1:28" ht="15.7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 spans="1:28" ht="15.7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 spans="1:28" ht="15.7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 spans="1:28" ht="15.7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 spans="1:28" ht="15.7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 spans="1:28" ht="15.7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 spans="1:28" ht="15.7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 spans="1:28" ht="15.7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 spans="1:28" ht="15.7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 spans="1:28" ht="15.7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 spans="1:28" ht="15.7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 spans="1:28" ht="15.7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 spans="1:28" ht="15.7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 spans="1:28" ht="15.7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 spans="1:28" ht="15.7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 spans="1:28" ht="15.7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 spans="1:28" ht="15.7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 spans="1:28" ht="15.7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 spans="1:28" ht="15.7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 spans="1:28" ht="15.7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 spans="1:28" ht="15.7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 spans="1:28" ht="15.7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 spans="1:28" ht="15.7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 spans="1:28" ht="15.7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 spans="1:28" ht="15.7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 spans="1:28" ht="15.7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 spans="1:28" ht="15.7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 spans="1:28" ht="15.7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 spans="1:28" ht="15.7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 spans="1:28" ht="15.7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 spans="1:28" ht="15.7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 spans="1:28" ht="15.7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 spans="1:28" ht="15.7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 spans="1:28" ht="15.7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 spans="1:28" ht="15.7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 spans="1:28" ht="15.7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 spans="1:28" ht="15.7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 spans="1:28" ht="15.7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 spans="1:28" ht="15.7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 spans="1:28" ht="15.7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 spans="1:28" ht="15.7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 spans="1:28" ht="15.7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 spans="1:28" ht="15.7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 spans="1:28" ht="15.7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 spans="1:28" ht="15.7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 spans="1:28" ht="15.7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 spans="1:28" ht="15.7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 spans="1:28" ht="15.7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 spans="1:28" ht="15.7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 spans="1:28" ht="15.7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 spans="1:28" ht="15.7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 spans="1:28" ht="15.7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 spans="1:28" ht="15.7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 spans="1:28" ht="15.7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 spans="1:28" ht="15.7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 spans="1:28" ht="15.7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 spans="1:28" ht="15.7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 spans="1:28" ht="15.7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 spans="1:28" ht="15.7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 spans="1:28" ht="15.7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 spans="1:28" ht="15.7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 spans="1:28" ht="15.7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 spans="1:28" ht="15.7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 spans="1:28" ht="15.7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 spans="1:28" ht="15.7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 spans="1:28" ht="15.7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 spans="1:28" ht="15.7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 spans="1:28" ht="15.7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 spans="1:28" ht="15.7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 spans="1:28" ht="15.7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 spans="1:28" ht="15.7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 spans="1:28" ht="15.7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 spans="1:28" ht="15.7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 spans="1:28" ht="15.7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 spans="1:28" ht="15.7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 spans="1:28" ht="15.7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 spans="1:28" ht="15.7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 spans="1:28" ht="15.7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 spans="1:28" ht="15.7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 spans="1:28" ht="15.7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 spans="1:28" ht="15.7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 spans="1:28" ht="15.7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 spans="1:28" ht="15.7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 spans="1:28" ht="15.7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 spans="1:28" ht="15.7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 spans="1:28" ht="15.7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 spans="1:28" ht="15.7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 spans="1:28" ht="15.7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 spans="1:28" ht="15.7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 spans="1:28" ht="15.7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 spans="1:28" ht="15.7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 spans="1:28" ht="15.7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 spans="1:28" ht="15.7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 spans="1:28" ht="15.7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 spans="1:28" ht="15.7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 spans="1:28" ht="15.7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 spans="1:28" ht="15.7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 spans="1:28" ht="15.7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 spans="1:28" ht="15.7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 spans="1:28" ht="15.7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 spans="1:28" ht="15.7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 spans="1:28" ht="15.7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 spans="1:28" ht="15.7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 spans="1:28" ht="15.7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 spans="1:28" ht="15.7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 spans="1:28" ht="15.7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 spans="1:28" ht="15.7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 spans="1:28" ht="15.7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 spans="1:28" ht="15.7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 spans="1:28" ht="15.7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 spans="1:28" ht="15.7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 spans="1:28" ht="15.7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 spans="1:28" ht="15.7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 spans="1:28" ht="15.7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 spans="1:28" ht="15.7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 spans="1:28" ht="15.7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 spans="1:28" ht="15.7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 spans="1:28" ht="15.7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 spans="1:28" ht="15.7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 spans="1:28" ht="15.7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 spans="1:28" ht="15.7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 spans="1:28" ht="15.7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 spans="1:28" ht="15.7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 spans="1:28" ht="15.7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 spans="1:28" ht="15.7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 spans="1:28" ht="15.7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 spans="1:28" ht="15.7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 spans="1:28" ht="15.7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 spans="1:28" ht="15.7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 spans="1:28" ht="15.7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 spans="1:28" ht="15.7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 spans="1:28" ht="15.7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 spans="1:28" ht="15.7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 spans="1:28" ht="15.7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 spans="1:28" ht="15.7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 spans="1:28" ht="15.7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 spans="1:28" ht="15.7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 spans="1:28" ht="15.7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 spans="1:28" ht="15.7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 spans="1:28" ht="15.7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 spans="1:28" ht="15.7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 spans="1:28" ht="15.7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 spans="1:28" ht="15.7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 spans="1:28" ht="15.7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 spans="1:28" ht="15.7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 spans="1:28" ht="15.7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 spans="1:28" ht="15.7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 spans="1:28" ht="15.7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 spans="1:28" ht="15.7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 spans="1:28" ht="15.7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 spans="1:28" ht="15.7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 spans="1:28" ht="15.7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 spans="1:28" ht="15.7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 spans="1:28" ht="15.7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 spans="1:28" ht="15.7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 spans="1:28" ht="15.7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 spans="1:28" ht="15.7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 spans="1:28" ht="15.7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 spans="1:28" ht="15.7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 spans="1:28" ht="15.7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 spans="1:28" ht="15.7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 spans="1:28" ht="15.7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 spans="1:28" ht="15.7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 spans="1:28" ht="15.7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 spans="1:28" ht="15.7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 spans="1:28" ht="15.7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 spans="1:28" ht="15.7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 spans="1:28" ht="15.7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 spans="1:28" ht="15.7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 spans="1:28" ht="15.7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 spans="1:28" ht="15.7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 spans="1:28" ht="15.7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 spans="1:28" ht="15.7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 spans="1:28" ht="15.7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 spans="1:28" ht="15.7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 spans="1:28" ht="15.7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 spans="1:28" ht="15.7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 spans="1:28" ht="15.7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 spans="1:28" ht="15.7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 spans="1:28" ht="15.7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 spans="1:28" ht="15.7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 spans="1:28" ht="15.7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 spans="1:28" ht="15.7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 spans="1:28" ht="15.7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 spans="1:28" ht="15.7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 spans="1:28" ht="15.7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 spans="1:28" ht="15.7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 spans="1:28" ht="15.7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 spans="1:28" ht="15.7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 spans="1:28" ht="15.7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 spans="1:28" ht="15.7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 spans="1:28" ht="15.7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 spans="1:28" ht="15.7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 spans="1:28" ht="15.7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 spans="1:28" ht="15.7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 spans="1:28" ht="15.7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 spans="1:28" ht="15.7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 spans="1:28" ht="15.7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 spans="1:28" ht="15.7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 spans="1:28" ht="15.7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 spans="1:28" ht="15.7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 spans="1:28" ht="15.7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 spans="1:28" ht="15.7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 spans="1:28" ht="15.7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 spans="1:28" ht="15.7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 spans="1:28" ht="15.7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 spans="1:28" ht="15.7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 spans="1:28" ht="15.7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 spans="1:28" ht="15.7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 spans="1:28" ht="15.7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 spans="1:28" ht="15.7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 spans="1:28" ht="15.7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 spans="1:28" ht="15.7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 spans="1:28" ht="15.7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 spans="1:28" ht="15.7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 spans="1:28" ht="15.7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 spans="1:28" ht="15.7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 spans="1:28" ht="15.7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 spans="1:28" ht="15.7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 spans="1:28" ht="15.7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 spans="1:28" ht="15.7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 spans="1:28" ht="15.7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 spans="1:28" ht="15.7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 spans="1:28" ht="15.7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 spans="1:28" ht="15.7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 spans="1:28" ht="15.7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 spans="1:28" ht="15.7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 spans="1:28" ht="15.7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 spans="1:28" ht="15.7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 spans="1:28" ht="15.7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 spans="1:28" ht="15.7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 spans="1:28" ht="15.7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 spans="1:28" ht="15.7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 spans="1:28" ht="15.7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 spans="1:28" ht="15.7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 spans="1:28" ht="15.7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 spans="1:28" ht="15.7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 spans="1:28" ht="15.7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 spans="1:28" ht="15.7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 spans="1:28" ht="15.7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 spans="1:28" ht="15.7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 spans="1:28" ht="15.7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 spans="1:28" ht="15.7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 spans="1:28" ht="15.7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 spans="1:28" ht="15.7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 spans="1:28" ht="15.7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 spans="1:28" ht="15.7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r="944" spans="1:28" ht="15.7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  <row r="945" spans="1:28" ht="15.7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</row>
    <row r="946" spans="1:28" ht="15.7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</row>
    <row r="947" spans="1:28" ht="15.7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</row>
    <row r="948" spans="1:28" ht="15.7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</row>
    <row r="949" spans="1:28" ht="15.7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</row>
    <row r="950" spans="1:28" ht="15.7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</row>
    <row r="951" spans="1:28" ht="15.7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</row>
    <row r="952" spans="1:28" ht="15.7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</row>
    <row r="953" spans="1:28" ht="15.7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</row>
    <row r="954" spans="1:28" ht="15.7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</row>
    <row r="955" spans="1:28" ht="15.7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</row>
    <row r="956" spans="1:28" ht="15.7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</row>
    <row r="957" spans="1:28" ht="15.7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</row>
    <row r="958" spans="1:28" ht="15.7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</row>
    <row r="959" spans="1:28" ht="15.7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</row>
    <row r="960" spans="1:28" ht="15.7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</row>
    <row r="961" spans="1:28" ht="15.7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</row>
    <row r="962" spans="1:28" ht="15.7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</row>
    <row r="963" spans="1:28" ht="15.7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</row>
    <row r="964" spans="1:28" ht="15.7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</row>
    <row r="965" spans="1:28" ht="15.7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</row>
    <row r="966" spans="1:28" ht="15.7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</row>
    <row r="967" spans="1:28" ht="15.7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</row>
    <row r="968" spans="1:28" ht="15.7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</row>
    <row r="969" spans="1:28" ht="15.7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</row>
    <row r="970" spans="1:28" ht="15.7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</row>
    <row r="971" spans="1:28" ht="15.7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</row>
    <row r="972" spans="1:28" ht="15.7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</row>
    <row r="973" spans="1:28" ht="15.7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</row>
    <row r="974" spans="1:28" ht="15.7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</row>
    <row r="975" spans="1:28" ht="15.7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</row>
    <row r="976" spans="1:28" ht="15.7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</row>
    <row r="977" spans="1:28" ht="15.7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</row>
    <row r="978" spans="1:28" ht="15.7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</row>
    <row r="979" spans="1:28" ht="15.7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</row>
    <row r="980" spans="1:28" ht="15.7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</row>
    <row r="981" spans="1:28" ht="15.7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</row>
    <row r="982" spans="1:28" ht="15.7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</row>
    <row r="983" spans="1:28" ht="15.7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</row>
    <row r="984" spans="1:28" ht="15.7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</row>
    <row r="985" spans="1:28" ht="15.7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</row>
    <row r="986" spans="1:28" ht="15.7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</row>
    <row r="987" spans="1:28" ht="15.7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</row>
    <row r="988" spans="1:28" ht="15.7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</row>
    <row r="989" spans="1:28" ht="15.7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</row>
    <row r="990" spans="1:28" ht="15.7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</row>
    <row r="991" spans="1:28" ht="15.7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</row>
    <row r="992" spans="1:28" ht="15.7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</row>
    <row r="993" spans="1:28" ht="15.7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</row>
    <row r="994" spans="1:28" ht="15.7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</row>
    <row r="995" spans="1:28" ht="15.7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</row>
    <row r="996" spans="1:28" ht="15.7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</row>
    <row r="997" spans="1:28" ht="15.75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</row>
    <row r="998" spans="1:28" ht="15.75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</row>
    <row r="999" spans="1:28" ht="15.75" customHeigh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</row>
    <row r="1000" spans="1:28" ht="15.75" customHeight="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</row>
    <row r="1001" spans="1:28" ht="15.75" customHeight="1" x14ac:dyDescent="0.2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</row>
  </sheetData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5"/>
  <sheetViews>
    <sheetView topLeftCell="B19" zoomScale="80" zoomScaleNormal="80" workbookViewId="0">
      <selection activeCell="H3" sqref="H3"/>
    </sheetView>
  </sheetViews>
  <sheetFormatPr defaultRowHeight="15" x14ac:dyDescent="0.25"/>
  <cols>
    <col min="1" max="1" width="32.5703125" style="62" customWidth="1"/>
    <col min="2" max="2" width="34.28515625" style="62" customWidth="1"/>
    <col min="3" max="3" width="35.7109375" style="62" customWidth="1"/>
    <col min="4" max="4" width="36.28515625" style="62" customWidth="1"/>
    <col min="5" max="5" width="25.140625" style="75" customWidth="1"/>
    <col min="6" max="6" width="6.42578125" style="62" customWidth="1"/>
    <col min="7" max="7" width="22.7109375" style="75" customWidth="1"/>
    <col min="8" max="8" width="21" style="75" customWidth="1"/>
    <col min="9" max="9" width="27.42578125" style="75" customWidth="1"/>
    <col min="10" max="10" width="10.7109375" customWidth="1"/>
    <col min="11" max="11" width="10.85546875" bestFit="1" customWidth="1"/>
  </cols>
  <sheetData>
    <row r="1" spans="1:9" ht="30" customHeight="1" x14ac:dyDescent="0.25">
      <c r="A1" s="64" t="s">
        <v>90</v>
      </c>
      <c r="B1" s="65"/>
      <c r="C1" s="65"/>
      <c r="D1" s="65"/>
      <c r="E1" s="66"/>
      <c r="F1" s="60"/>
      <c r="G1" s="67" t="s">
        <v>92</v>
      </c>
      <c r="H1" s="67"/>
      <c r="I1" s="67"/>
    </row>
    <row r="2" spans="1:9" ht="48" customHeight="1" x14ac:dyDescent="0.25">
      <c r="A2" s="77" t="s">
        <v>93</v>
      </c>
      <c r="B2" s="77" t="s">
        <v>94</v>
      </c>
      <c r="C2" s="77" t="s">
        <v>95</v>
      </c>
      <c r="D2" s="77" t="s">
        <v>96</v>
      </c>
      <c r="E2" s="77" t="s">
        <v>91</v>
      </c>
      <c r="F2" s="63"/>
      <c r="G2" s="77" t="s">
        <v>97</v>
      </c>
      <c r="H2" s="77" t="s">
        <v>98</v>
      </c>
      <c r="I2" s="77" t="s">
        <v>31</v>
      </c>
    </row>
    <row r="3" spans="1:9" ht="93.75" customHeight="1" x14ac:dyDescent="0.25">
      <c r="A3" s="61" t="s">
        <v>102</v>
      </c>
      <c r="B3" s="58" t="s">
        <v>104</v>
      </c>
      <c r="C3" s="61" t="s">
        <v>103</v>
      </c>
      <c r="D3" s="69" t="s">
        <v>103</v>
      </c>
      <c r="E3" s="74"/>
      <c r="F3" s="60"/>
      <c r="G3" s="58"/>
      <c r="H3" s="58"/>
      <c r="I3" s="58"/>
    </row>
    <row r="4" spans="1:9" ht="108.6" customHeight="1" x14ac:dyDescent="0.25">
      <c r="A4" s="61" t="s">
        <v>99</v>
      </c>
      <c r="B4" s="58" t="s">
        <v>144</v>
      </c>
      <c r="C4" s="61" t="s">
        <v>105</v>
      </c>
      <c r="D4" s="61" t="s">
        <v>150</v>
      </c>
      <c r="E4" s="74"/>
      <c r="F4" s="60"/>
      <c r="G4" s="58"/>
      <c r="H4" s="58"/>
      <c r="I4" s="58"/>
    </row>
    <row r="5" spans="1:9" ht="81" customHeight="1" x14ac:dyDescent="0.25">
      <c r="A5" s="61" t="s">
        <v>100</v>
      </c>
      <c r="B5" s="58" t="s">
        <v>107</v>
      </c>
      <c r="C5" s="61" t="s">
        <v>153</v>
      </c>
      <c r="D5" s="61" t="s">
        <v>153</v>
      </c>
      <c r="E5" s="74"/>
      <c r="F5" s="60"/>
      <c r="G5" s="58"/>
      <c r="H5" s="58"/>
      <c r="I5" s="58"/>
    </row>
    <row r="6" spans="1:9" ht="60" x14ac:dyDescent="0.25">
      <c r="A6" s="61" t="s">
        <v>106</v>
      </c>
      <c r="B6" s="58" t="s">
        <v>108</v>
      </c>
      <c r="C6" s="61" t="s">
        <v>153</v>
      </c>
      <c r="D6" s="61" t="s">
        <v>158</v>
      </c>
      <c r="E6" s="76">
        <v>1</v>
      </c>
      <c r="F6" s="60"/>
      <c r="G6" s="58">
        <v>1</v>
      </c>
      <c r="H6" s="58" t="s">
        <v>210</v>
      </c>
      <c r="I6" s="82" t="s">
        <v>101</v>
      </c>
    </row>
    <row r="7" spans="1:9" ht="81" customHeight="1" x14ac:dyDescent="0.25">
      <c r="A7" s="61" t="s">
        <v>109</v>
      </c>
      <c r="B7" s="58" t="s">
        <v>110</v>
      </c>
      <c r="C7" s="61" t="s">
        <v>153</v>
      </c>
      <c r="D7" s="61" t="s">
        <v>153</v>
      </c>
      <c r="E7" s="74"/>
      <c r="F7" s="60"/>
      <c r="G7" s="58"/>
      <c r="H7" s="58"/>
      <c r="I7" s="58"/>
    </row>
    <row r="8" spans="1:9" ht="91.9" customHeight="1" x14ac:dyDescent="0.25">
      <c r="A8" s="61" t="s">
        <v>111</v>
      </c>
      <c r="B8" s="58" t="s">
        <v>118</v>
      </c>
      <c r="C8" s="61" t="s">
        <v>131</v>
      </c>
      <c r="D8" s="61" t="s">
        <v>131</v>
      </c>
      <c r="E8" s="74"/>
      <c r="F8" s="60"/>
      <c r="G8" s="58"/>
      <c r="H8" s="58"/>
      <c r="I8" s="58"/>
    </row>
    <row r="9" spans="1:9" ht="129.6" customHeight="1" x14ac:dyDescent="0.25">
      <c r="A9" s="61" t="s">
        <v>112</v>
      </c>
      <c r="B9" s="58" t="s">
        <v>119</v>
      </c>
      <c r="C9" s="61" t="s">
        <v>132</v>
      </c>
      <c r="D9" s="61" t="s">
        <v>132</v>
      </c>
      <c r="E9" s="74"/>
      <c r="F9" s="60"/>
      <c r="G9" s="58"/>
      <c r="H9" s="58"/>
      <c r="I9" s="59"/>
    </row>
    <row r="10" spans="1:9" ht="89.45" customHeight="1" x14ac:dyDescent="0.25">
      <c r="A10" s="61" t="s">
        <v>113</v>
      </c>
      <c r="B10" s="58" t="s">
        <v>120</v>
      </c>
      <c r="C10" s="61" t="s">
        <v>133</v>
      </c>
      <c r="D10" s="61" t="s">
        <v>133</v>
      </c>
      <c r="E10" s="74"/>
      <c r="F10" s="60"/>
      <c r="G10" s="58"/>
      <c r="H10" s="58"/>
      <c r="I10" s="58"/>
    </row>
    <row r="11" spans="1:9" ht="106.9" customHeight="1" x14ac:dyDescent="0.25">
      <c r="A11" s="61" t="s">
        <v>117</v>
      </c>
      <c r="B11" s="61" t="s">
        <v>121</v>
      </c>
      <c r="C11" s="61" t="s">
        <v>134</v>
      </c>
      <c r="D11" s="61" t="s">
        <v>134</v>
      </c>
      <c r="E11" s="74"/>
      <c r="F11" s="60"/>
      <c r="G11" s="58"/>
      <c r="H11" s="58"/>
      <c r="I11" s="58"/>
    </row>
    <row r="12" spans="1:9" ht="99.6" customHeight="1" x14ac:dyDescent="0.25">
      <c r="A12" s="61" t="s">
        <v>114</v>
      </c>
      <c r="B12" s="61" t="s">
        <v>122</v>
      </c>
      <c r="C12" s="61" t="s">
        <v>135</v>
      </c>
      <c r="D12" s="61" t="s">
        <v>135</v>
      </c>
      <c r="E12" s="74"/>
      <c r="F12" s="60"/>
      <c r="G12" s="58"/>
      <c r="H12" s="58"/>
      <c r="I12" s="58"/>
    </row>
    <row r="13" spans="1:9" ht="110.45" customHeight="1" x14ac:dyDescent="0.25">
      <c r="A13" s="61" t="s">
        <v>114</v>
      </c>
      <c r="B13" s="61" t="s">
        <v>123</v>
      </c>
      <c r="C13" s="61" t="s">
        <v>136</v>
      </c>
      <c r="D13" s="61" t="s">
        <v>136</v>
      </c>
      <c r="E13" s="74"/>
      <c r="F13" s="60"/>
      <c r="G13" s="58"/>
      <c r="H13" s="58"/>
      <c r="I13" s="58"/>
    </row>
    <row r="14" spans="1:9" ht="144.6" customHeight="1" x14ac:dyDescent="0.25">
      <c r="A14" s="61" t="s">
        <v>69</v>
      </c>
      <c r="B14" s="61" t="s">
        <v>124</v>
      </c>
      <c r="C14" s="61" t="s">
        <v>137</v>
      </c>
      <c r="D14" s="61" t="s">
        <v>137</v>
      </c>
      <c r="E14" s="74"/>
      <c r="F14" s="60"/>
      <c r="G14" s="58"/>
      <c r="H14" s="58"/>
      <c r="I14" s="59"/>
    </row>
    <row r="15" spans="1:9" ht="57" customHeight="1" x14ac:dyDescent="0.25">
      <c r="A15" s="61" t="s">
        <v>126</v>
      </c>
      <c r="B15" s="61" t="s">
        <v>125</v>
      </c>
      <c r="C15" s="61" t="s">
        <v>138</v>
      </c>
      <c r="D15" s="61" t="s">
        <v>138</v>
      </c>
      <c r="E15" s="74"/>
      <c r="F15" s="60"/>
      <c r="G15" s="58"/>
      <c r="H15" s="58"/>
      <c r="I15" s="58"/>
    </row>
    <row r="16" spans="1:9" ht="68.25" customHeight="1" x14ac:dyDescent="0.25">
      <c r="A16" s="61" t="s">
        <v>76</v>
      </c>
      <c r="B16" s="61" t="s">
        <v>127</v>
      </c>
      <c r="C16" s="61" t="s">
        <v>139</v>
      </c>
      <c r="D16" s="61" t="s">
        <v>206</v>
      </c>
      <c r="E16" s="57">
        <v>2</v>
      </c>
      <c r="F16" s="60"/>
      <c r="G16" s="58">
        <v>2</v>
      </c>
      <c r="H16" s="58" t="s">
        <v>214</v>
      </c>
      <c r="I16" s="82" t="s">
        <v>101</v>
      </c>
    </row>
    <row r="17" spans="1:10" ht="59.25" customHeight="1" x14ac:dyDescent="0.25">
      <c r="A17" s="61" t="s">
        <v>70</v>
      </c>
      <c r="B17" s="61" t="s">
        <v>128</v>
      </c>
      <c r="C17" s="61" t="s">
        <v>140</v>
      </c>
      <c r="D17" s="61" t="s">
        <v>140</v>
      </c>
      <c r="E17" s="74"/>
      <c r="F17" s="60"/>
      <c r="G17" s="58"/>
      <c r="H17" s="58"/>
      <c r="I17" s="58"/>
    </row>
    <row r="18" spans="1:10" ht="101.25" customHeight="1" x14ac:dyDescent="0.25">
      <c r="A18" s="61" t="s">
        <v>115</v>
      </c>
      <c r="B18" s="61" t="s">
        <v>129</v>
      </c>
      <c r="C18" s="61" t="s">
        <v>141</v>
      </c>
      <c r="D18" s="73" t="s">
        <v>207</v>
      </c>
      <c r="E18" s="57">
        <v>3</v>
      </c>
      <c r="F18"/>
      <c r="G18" s="41">
        <v>3</v>
      </c>
      <c r="H18" s="56" t="s">
        <v>211</v>
      </c>
      <c r="I18" s="43" t="s">
        <v>101</v>
      </c>
    </row>
    <row r="19" spans="1:10" ht="99.75" customHeight="1" x14ac:dyDescent="0.25">
      <c r="A19" s="61" t="s">
        <v>116</v>
      </c>
      <c r="B19" s="61" t="s">
        <v>130</v>
      </c>
      <c r="C19" s="61" t="s">
        <v>142</v>
      </c>
      <c r="D19" s="61" t="s">
        <v>205</v>
      </c>
      <c r="E19" s="74"/>
      <c r="F19"/>
      <c r="G19" s="41"/>
      <c r="H19" s="41"/>
      <c r="I19" s="41"/>
    </row>
    <row r="20" spans="1:10" x14ac:dyDescent="0.25">
      <c r="A20" s="60"/>
      <c r="B20"/>
      <c r="C20"/>
      <c r="D20"/>
      <c r="E20" s="68"/>
      <c r="F20"/>
      <c r="G20" s="78"/>
      <c r="H20" s="78"/>
      <c r="I20" s="78"/>
    </row>
    <row r="21" spans="1:10" x14ac:dyDescent="0.25">
      <c r="A21" s="60"/>
      <c r="B21"/>
      <c r="C21"/>
      <c r="D21"/>
      <c r="E21" s="68"/>
      <c r="F21"/>
      <c r="G21" s="79"/>
      <c r="H21" s="79"/>
      <c r="I21" s="79"/>
      <c r="J21" s="14"/>
    </row>
    <row r="22" spans="1:10" x14ac:dyDescent="0.25">
      <c r="A22" s="60"/>
      <c r="B22"/>
      <c r="C22"/>
      <c r="D22"/>
      <c r="E22" s="68"/>
      <c r="F22" s="60"/>
      <c r="G22" s="80"/>
      <c r="H22" s="80"/>
      <c r="I22" s="80"/>
      <c r="J22" s="14"/>
    </row>
    <row r="23" spans="1:10" x14ac:dyDescent="0.25">
      <c r="A23" s="60"/>
      <c r="B23"/>
      <c r="C23"/>
      <c r="D23"/>
      <c r="E23" s="68"/>
      <c r="G23" s="81"/>
      <c r="H23" s="81"/>
      <c r="I23" s="81"/>
      <c r="J23" s="14"/>
    </row>
    <row r="31" spans="1:10" ht="67.150000000000006" customHeight="1" x14ac:dyDescent="0.25"/>
    <row r="32" spans="1:10" ht="60" customHeight="1" x14ac:dyDescent="0.25"/>
    <row r="45" ht="60" customHeight="1" x14ac:dyDescent="0.25"/>
  </sheetData>
  <mergeCells count="2">
    <mergeCell ref="G1:I1"/>
    <mergeCell ref="A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topLeftCell="A7" zoomScaleNormal="100" workbookViewId="0">
      <selection activeCell="B5" sqref="B5"/>
    </sheetView>
  </sheetViews>
  <sheetFormatPr defaultRowHeight="15.75" x14ac:dyDescent="0.25"/>
  <cols>
    <col min="1" max="2" width="18.28515625" style="332" customWidth="1"/>
    <col min="3" max="3" width="15.28515625" style="332" customWidth="1"/>
    <col min="4" max="4" width="28.5703125" style="332" customWidth="1"/>
  </cols>
  <sheetData>
    <row r="1" spans="1:4" ht="28.9" customHeight="1" thickBot="1" x14ac:dyDescent="0.3">
      <c r="A1" s="333" t="s">
        <v>40</v>
      </c>
      <c r="B1" s="327" t="s">
        <v>214</v>
      </c>
      <c r="C1" s="328"/>
      <c r="D1" s="329"/>
    </row>
    <row r="2" spans="1:4" ht="16.5" thickBot="1" x14ac:dyDescent="0.3">
      <c r="A2" s="334" t="s">
        <v>26</v>
      </c>
      <c r="B2" s="330">
        <v>2</v>
      </c>
      <c r="C2" s="335" t="s">
        <v>41</v>
      </c>
      <c r="D2" s="331">
        <v>2</v>
      </c>
    </row>
    <row r="3" spans="1:4" ht="16.5" thickBot="1" x14ac:dyDescent="0.3">
      <c r="A3" s="334" t="s">
        <v>42</v>
      </c>
      <c r="B3" s="331" t="s">
        <v>215</v>
      </c>
      <c r="C3" s="335" t="s">
        <v>43</v>
      </c>
      <c r="D3" s="323"/>
    </row>
    <row r="4" spans="1:4" ht="27.6" customHeight="1" thickBot="1" x14ac:dyDescent="0.3">
      <c r="A4" s="334" t="s">
        <v>4</v>
      </c>
      <c r="B4" s="323" t="s">
        <v>62</v>
      </c>
      <c r="C4" s="335" t="s">
        <v>44</v>
      </c>
      <c r="D4" s="323" t="s">
        <v>216</v>
      </c>
    </row>
    <row r="5" spans="1:4" ht="16.5" thickBot="1" x14ac:dyDescent="0.3">
      <c r="A5" s="334" t="s">
        <v>45</v>
      </c>
      <c r="B5" s="323" t="s">
        <v>55</v>
      </c>
      <c r="C5" s="335" t="s">
        <v>47</v>
      </c>
      <c r="D5" s="323" t="s">
        <v>48</v>
      </c>
    </row>
    <row r="6" spans="1:4" ht="16.5" thickBot="1" x14ac:dyDescent="0.3">
      <c r="A6" s="321" t="s">
        <v>49</v>
      </c>
      <c r="B6" s="322" t="s">
        <v>37</v>
      </c>
      <c r="C6" s="323" t="s">
        <v>50</v>
      </c>
      <c r="D6" s="323"/>
    </row>
    <row r="7" spans="1:4" ht="16.5" thickBot="1" x14ac:dyDescent="0.3">
      <c r="A7" s="321" t="s">
        <v>46</v>
      </c>
      <c r="B7" s="322" t="s">
        <v>48</v>
      </c>
      <c r="C7" s="323" t="s">
        <v>51</v>
      </c>
      <c r="D7" s="323"/>
    </row>
    <row r="8" spans="1:4" ht="16.5" thickBot="1" x14ac:dyDescent="0.3">
      <c r="A8" s="321" t="s">
        <v>52</v>
      </c>
      <c r="B8" s="322" t="s">
        <v>53</v>
      </c>
      <c r="C8" s="323" t="s">
        <v>54</v>
      </c>
      <c r="D8" s="323"/>
    </row>
    <row r="9" spans="1:4" ht="16.5" thickBot="1" x14ac:dyDescent="0.3">
      <c r="A9" s="321" t="s">
        <v>55</v>
      </c>
      <c r="B9" s="323"/>
      <c r="C9" s="323" t="s">
        <v>56</v>
      </c>
      <c r="D9" s="323"/>
    </row>
    <row r="10" spans="1:4" ht="16.5" thickBot="1" x14ac:dyDescent="0.3">
      <c r="A10" s="321" t="s">
        <v>57</v>
      </c>
      <c r="B10" s="323"/>
      <c r="C10" s="323" t="s">
        <v>58</v>
      </c>
      <c r="D10" s="323"/>
    </row>
    <row r="11" spans="1:4" ht="16.5" thickBot="1" x14ac:dyDescent="0.3">
      <c r="A11" s="334" t="s">
        <v>59</v>
      </c>
      <c r="B11" s="323" t="s">
        <v>88</v>
      </c>
      <c r="C11" s="335" t="s">
        <v>60</v>
      </c>
      <c r="D11" s="323" t="s">
        <v>85</v>
      </c>
    </row>
    <row r="12" spans="1:4" ht="277.14999999999998" customHeight="1" thickBot="1" x14ac:dyDescent="0.3">
      <c r="A12" s="336" t="s">
        <v>61</v>
      </c>
      <c r="B12" s="324" t="s">
        <v>217</v>
      </c>
      <c r="C12" s="325"/>
      <c r="D12" s="326"/>
    </row>
    <row r="18" spans="6:7" x14ac:dyDescent="0.25">
      <c r="F18" s="26"/>
      <c r="G18" s="26"/>
    </row>
    <row r="19" spans="6:7" x14ac:dyDescent="0.25">
      <c r="F19" s="26"/>
      <c r="G19" s="26"/>
    </row>
    <row r="20" spans="6:7" x14ac:dyDescent="0.25">
      <c r="F20" s="26"/>
      <c r="G20" s="26"/>
    </row>
    <row r="21" spans="6:7" x14ac:dyDescent="0.25">
      <c r="F21" s="26"/>
      <c r="G21" s="26"/>
    </row>
    <row r="22" spans="6:7" x14ac:dyDescent="0.25">
      <c r="F22" s="26"/>
      <c r="G22" s="26"/>
    </row>
    <row r="23" spans="6:7" x14ac:dyDescent="0.25">
      <c r="F23" s="26"/>
      <c r="G23" s="26"/>
    </row>
    <row r="24" spans="6:7" x14ac:dyDescent="0.25">
      <c r="F24" s="26"/>
      <c r="G24" s="26"/>
    </row>
    <row r="25" spans="6:7" x14ac:dyDescent="0.25">
      <c r="F25" s="26"/>
      <c r="G25" s="26"/>
    </row>
    <row r="26" spans="6:7" x14ac:dyDescent="0.25">
      <c r="F26" s="26"/>
      <c r="G26" s="26"/>
    </row>
  </sheetData>
  <mergeCells count="2">
    <mergeCell ref="B1:D1"/>
    <mergeCell ref="B12:D1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1"/>
  <sheetViews>
    <sheetView zoomScaleNormal="100" workbookViewId="0">
      <selection activeCell="K6" sqref="K6"/>
    </sheetView>
  </sheetViews>
  <sheetFormatPr defaultColWidth="14.42578125" defaultRowHeight="15" customHeight="1" x14ac:dyDescent="0.25"/>
  <cols>
    <col min="1" max="1" width="8.7109375" customWidth="1"/>
    <col min="2" max="2" width="32.42578125" customWidth="1"/>
    <col min="3" max="3" width="35.5703125" customWidth="1"/>
    <col min="4" max="6" width="8.7109375" customWidth="1"/>
    <col min="7" max="7" width="28" customWidth="1"/>
    <col min="8" max="8" width="12.42578125" customWidth="1"/>
    <col min="9" max="26" width="8.7109375" customWidth="1"/>
  </cols>
  <sheetData>
    <row r="1" spans="1:8" ht="15.75" x14ac:dyDescent="0.25">
      <c r="A1" s="83"/>
      <c r="B1" s="84" t="s">
        <v>8</v>
      </c>
      <c r="C1" s="85" t="s">
        <v>34</v>
      </c>
      <c r="D1" s="86"/>
      <c r="E1" s="87"/>
      <c r="F1" s="84" t="s">
        <v>9</v>
      </c>
      <c r="G1" s="88">
        <v>1</v>
      </c>
      <c r="H1" s="89"/>
    </row>
    <row r="2" spans="1:8" ht="15.75" x14ac:dyDescent="0.25">
      <c r="A2" s="90"/>
      <c r="B2" s="91" t="s">
        <v>10</v>
      </c>
      <c r="C2" s="92" t="s">
        <v>89</v>
      </c>
      <c r="D2" s="93"/>
      <c r="E2" s="94"/>
      <c r="F2" s="95" t="s">
        <v>11</v>
      </c>
      <c r="G2" s="96" t="s">
        <v>35</v>
      </c>
      <c r="H2" s="97"/>
    </row>
    <row r="3" spans="1:8" ht="33" customHeight="1" x14ac:dyDescent="0.25">
      <c r="A3" s="98"/>
      <c r="B3" s="99"/>
      <c r="C3" s="110"/>
      <c r="D3" s="100"/>
      <c r="E3" s="101"/>
      <c r="F3" s="102" t="s">
        <v>12</v>
      </c>
      <c r="G3" s="103">
        <v>1</v>
      </c>
      <c r="H3" s="97"/>
    </row>
    <row r="4" spans="1:8" ht="16.5" thickBot="1" x14ac:dyDescent="0.3">
      <c r="A4" s="104" t="s">
        <v>13</v>
      </c>
      <c r="B4" s="105"/>
      <c r="C4" s="111" t="s">
        <v>87</v>
      </c>
      <c r="D4" s="106" t="s">
        <v>14</v>
      </c>
      <c r="E4" s="107"/>
      <c r="F4" s="105"/>
      <c r="G4" s="108">
        <v>45795</v>
      </c>
      <c r="H4" s="109"/>
    </row>
    <row r="5" spans="1:8" ht="15.75" thickBot="1" x14ac:dyDescent="0.3">
      <c r="A5" s="8"/>
      <c r="B5" s="9"/>
      <c r="C5" s="9"/>
      <c r="D5" s="10"/>
      <c r="E5" s="10"/>
      <c r="F5" s="10"/>
      <c r="G5" s="9"/>
      <c r="H5" s="9"/>
    </row>
    <row r="6" spans="1:8" ht="15.75" x14ac:dyDescent="0.25">
      <c r="A6" s="112" t="s">
        <v>15</v>
      </c>
      <c r="B6" s="113"/>
      <c r="C6" s="118" t="s">
        <v>143</v>
      </c>
      <c r="D6" s="119"/>
      <c r="E6" s="120"/>
      <c r="F6" s="120"/>
      <c r="G6" s="120"/>
      <c r="H6" s="121"/>
    </row>
    <row r="7" spans="1:8" ht="31.5" x14ac:dyDescent="0.25">
      <c r="A7" s="114"/>
      <c r="B7" s="115"/>
      <c r="C7" s="122" t="s">
        <v>163</v>
      </c>
      <c r="D7" s="123"/>
      <c r="E7" s="124"/>
      <c r="F7" s="124"/>
      <c r="G7" s="124"/>
      <c r="H7" s="125"/>
    </row>
    <row r="8" spans="1:8" ht="16.5" thickBot="1" x14ac:dyDescent="0.3">
      <c r="A8" s="116"/>
      <c r="B8" s="117"/>
      <c r="C8" s="126" t="s">
        <v>212</v>
      </c>
      <c r="D8" s="127"/>
      <c r="E8" s="128"/>
      <c r="F8" s="128"/>
      <c r="G8" s="128"/>
      <c r="H8" s="129"/>
    </row>
    <row r="9" spans="1:8" x14ac:dyDescent="0.25">
      <c r="A9" s="8"/>
      <c r="B9" s="9"/>
      <c r="C9" s="11"/>
      <c r="D9" s="10"/>
      <c r="H9" s="9"/>
    </row>
    <row r="10" spans="1:8" x14ac:dyDescent="0.25">
      <c r="A10" s="8"/>
      <c r="B10" s="9"/>
      <c r="C10" s="9"/>
      <c r="D10" s="10"/>
      <c r="E10" s="10"/>
      <c r="F10" s="10"/>
      <c r="G10" s="9"/>
      <c r="H10" s="9"/>
    </row>
    <row r="11" spans="1:8" ht="16.5" thickBot="1" x14ac:dyDescent="0.3">
      <c r="A11" s="130">
        <f>COUNTA(A13:A29)</f>
        <v>17</v>
      </c>
      <c r="B11" s="131" t="s">
        <v>16</v>
      </c>
      <c r="C11" s="132" t="s">
        <v>17</v>
      </c>
      <c r="D11" s="133">
        <v>16</v>
      </c>
      <c r="E11" s="133">
        <v>1</v>
      </c>
      <c r="F11" s="133">
        <f t="shared" ref="D11:F11" si="0">COUNTIF(F13:F28,"x")</f>
        <v>0</v>
      </c>
      <c r="G11" s="134" t="s">
        <v>18</v>
      </c>
      <c r="H11" s="135">
        <f>(D11+E11+F11)/A11</f>
        <v>1</v>
      </c>
    </row>
    <row r="12" spans="1:8" ht="15.75" x14ac:dyDescent="0.25">
      <c r="A12" s="136" t="s">
        <v>19</v>
      </c>
      <c r="B12" s="137" t="s">
        <v>20</v>
      </c>
      <c r="C12" s="137" t="s">
        <v>21</v>
      </c>
      <c r="D12" s="138" t="s">
        <v>22</v>
      </c>
      <c r="E12" s="138" t="s">
        <v>23</v>
      </c>
      <c r="F12" s="138" t="s">
        <v>24</v>
      </c>
      <c r="G12" s="139" t="s">
        <v>25</v>
      </c>
      <c r="H12" s="140" t="s">
        <v>26</v>
      </c>
    </row>
    <row r="13" spans="1:8" ht="47.25" x14ac:dyDescent="0.25">
      <c r="A13" s="141">
        <v>1</v>
      </c>
      <c r="B13" s="142" t="s">
        <v>30</v>
      </c>
      <c r="C13" s="142" t="s">
        <v>28</v>
      </c>
      <c r="D13" s="301" t="s">
        <v>27</v>
      </c>
      <c r="E13" s="301"/>
      <c r="F13" s="143"/>
      <c r="G13" s="142" t="s">
        <v>28</v>
      </c>
      <c r="H13" s="144"/>
    </row>
    <row r="14" spans="1:8" ht="94.5" x14ac:dyDescent="0.25">
      <c r="A14" s="141">
        <f t="shared" ref="A14:A25" si="1">A13 + 1</f>
        <v>2</v>
      </c>
      <c r="B14" s="142" t="s">
        <v>145</v>
      </c>
      <c r="C14" s="142" t="s">
        <v>29</v>
      </c>
      <c r="D14" s="301" t="s">
        <v>27</v>
      </c>
      <c r="E14" s="301"/>
      <c r="F14" s="143"/>
      <c r="G14" s="142" t="s">
        <v>29</v>
      </c>
      <c r="H14" s="144"/>
    </row>
    <row r="15" spans="1:8" ht="63" x14ac:dyDescent="0.25">
      <c r="A15" s="141">
        <f t="shared" si="1"/>
        <v>3</v>
      </c>
      <c r="B15" s="142" t="s">
        <v>146</v>
      </c>
      <c r="C15" s="142" t="s">
        <v>147</v>
      </c>
      <c r="D15" s="301" t="s">
        <v>27</v>
      </c>
      <c r="E15" s="301"/>
      <c r="F15" s="143"/>
      <c r="G15" s="142" t="s">
        <v>147</v>
      </c>
      <c r="H15" s="144"/>
    </row>
    <row r="16" spans="1:8" ht="99" customHeight="1" x14ac:dyDescent="0.25">
      <c r="A16" s="145">
        <v>4</v>
      </c>
      <c r="B16" s="146" t="s">
        <v>148</v>
      </c>
      <c r="C16" s="142" t="s">
        <v>29</v>
      </c>
      <c r="D16" s="303" t="s">
        <v>149</v>
      </c>
      <c r="E16" s="302"/>
      <c r="F16" s="145"/>
      <c r="G16" s="142" t="s">
        <v>29</v>
      </c>
      <c r="H16" s="145"/>
    </row>
    <row r="17" spans="1:8" ht="78.75" x14ac:dyDescent="0.25">
      <c r="A17" s="141">
        <f t="shared" si="1"/>
        <v>5</v>
      </c>
      <c r="B17" s="142" t="s">
        <v>146</v>
      </c>
      <c r="C17" s="142" t="s">
        <v>155</v>
      </c>
      <c r="D17" s="303" t="s">
        <v>149</v>
      </c>
      <c r="E17" s="302"/>
      <c r="F17" s="145"/>
      <c r="G17" s="142" t="s">
        <v>156</v>
      </c>
      <c r="H17" s="145"/>
    </row>
    <row r="18" spans="1:8" ht="78.75" x14ac:dyDescent="0.25">
      <c r="A18" s="145">
        <v>6</v>
      </c>
      <c r="B18" s="146" t="s">
        <v>151</v>
      </c>
      <c r="C18" s="142" t="s">
        <v>29</v>
      </c>
      <c r="D18" s="303" t="s">
        <v>149</v>
      </c>
      <c r="E18" s="302"/>
      <c r="F18" s="145"/>
      <c r="G18" s="142" t="s">
        <v>29</v>
      </c>
      <c r="H18" s="145"/>
    </row>
    <row r="19" spans="1:8" ht="21" x14ac:dyDescent="0.25">
      <c r="A19" s="141">
        <f t="shared" si="1"/>
        <v>7</v>
      </c>
      <c r="B19" s="142" t="s">
        <v>146</v>
      </c>
      <c r="C19" s="145" t="s">
        <v>152</v>
      </c>
      <c r="D19" s="303" t="s">
        <v>149</v>
      </c>
      <c r="E19" s="302"/>
      <c r="F19" s="145"/>
      <c r="G19" s="145" t="s">
        <v>152</v>
      </c>
      <c r="H19" s="145"/>
    </row>
    <row r="20" spans="1:8" ht="78.75" x14ac:dyDescent="0.25">
      <c r="A20" s="145">
        <v>8</v>
      </c>
      <c r="B20" s="146" t="s">
        <v>154</v>
      </c>
      <c r="C20" s="142" t="s">
        <v>29</v>
      </c>
      <c r="D20" s="303" t="s">
        <v>149</v>
      </c>
      <c r="E20" s="303"/>
      <c r="F20" s="145"/>
      <c r="G20" s="142" t="s">
        <v>29</v>
      </c>
      <c r="H20" s="145"/>
    </row>
    <row r="21" spans="1:8" ht="63" x14ac:dyDescent="0.25">
      <c r="A21" s="141">
        <f t="shared" si="1"/>
        <v>9</v>
      </c>
      <c r="B21" s="142" t="s">
        <v>146</v>
      </c>
      <c r="C21" s="145" t="s">
        <v>152</v>
      </c>
      <c r="D21" s="303"/>
      <c r="E21" s="303" t="s">
        <v>149</v>
      </c>
      <c r="F21" s="145"/>
      <c r="G21" s="147" t="s">
        <v>157</v>
      </c>
      <c r="H21" s="145">
        <v>1</v>
      </c>
    </row>
    <row r="22" spans="1:8" ht="81" customHeight="1" x14ac:dyDescent="0.25">
      <c r="A22" s="145">
        <v>10</v>
      </c>
      <c r="B22" s="146" t="s">
        <v>159</v>
      </c>
      <c r="C22" s="142" t="s">
        <v>29</v>
      </c>
      <c r="D22" s="303" t="s">
        <v>149</v>
      </c>
      <c r="E22" s="303"/>
      <c r="F22" s="145"/>
      <c r="G22" s="142" t="s">
        <v>29</v>
      </c>
      <c r="H22" s="145"/>
    </row>
    <row r="23" spans="1:8" ht="15.75" customHeight="1" x14ac:dyDescent="0.25">
      <c r="A23" s="141">
        <f t="shared" si="1"/>
        <v>11</v>
      </c>
      <c r="B23" s="142" t="s">
        <v>146</v>
      </c>
      <c r="C23" s="145" t="s">
        <v>152</v>
      </c>
      <c r="D23" s="303" t="s">
        <v>149</v>
      </c>
      <c r="E23" s="303"/>
      <c r="F23" s="145"/>
      <c r="G23" s="145" t="s">
        <v>152</v>
      </c>
      <c r="H23" s="145"/>
    </row>
    <row r="24" spans="1:8" ht="80.25" customHeight="1" x14ac:dyDescent="0.25">
      <c r="A24" s="145">
        <v>12</v>
      </c>
      <c r="B24" s="146" t="s">
        <v>160</v>
      </c>
      <c r="C24" s="142" t="s">
        <v>29</v>
      </c>
      <c r="D24" s="303" t="s">
        <v>149</v>
      </c>
      <c r="E24" s="303"/>
      <c r="F24" s="145"/>
      <c r="G24" s="142" t="s">
        <v>29</v>
      </c>
      <c r="H24" s="145"/>
    </row>
    <row r="25" spans="1:8" ht="36.75" customHeight="1" x14ac:dyDescent="0.25">
      <c r="A25" s="141">
        <f t="shared" si="1"/>
        <v>13</v>
      </c>
      <c r="B25" s="142" t="s">
        <v>161</v>
      </c>
      <c r="C25" s="147" t="s">
        <v>162</v>
      </c>
      <c r="D25" s="303" t="s">
        <v>27</v>
      </c>
      <c r="E25" s="303"/>
      <c r="F25" s="145"/>
      <c r="G25" s="147" t="s">
        <v>162</v>
      </c>
      <c r="H25" s="145"/>
    </row>
    <row r="26" spans="1:8" ht="51.75" customHeight="1" x14ac:dyDescent="0.25">
      <c r="A26" s="145">
        <v>14</v>
      </c>
      <c r="B26" s="146" t="s">
        <v>164</v>
      </c>
      <c r="C26" s="142" t="s">
        <v>29</v>
      </c>
      <c r="D26" s="303" t="s">
        <v>27</v>
      </c>
      <c r="E26" s="303"/>
      <c r="F26" s="145"/>
      <c r="G26" s="142" t="s">
        <v>29</v>
      </c>
      <c r="H26" s="145"/>
    </row>
    <row r="27" spans="1:8" ht="30" customHeight="1" x14ac:dyDescent="0.25">
      <c r="A27" s="145">
        <v>15</v>
      </c>
      <c r="B27" s="142" t="s">
        <v>161</v>
      </c>
      <c r="C27" s="145" t="s">
        <v>165</v>
      </c>
      <c r="D27" s="303" t="s">
        <v>149</v>
      </c>
      <c r="E27" s="303"/>
      <c r="F27" s="145"/>
      <c r="G27" s="147" t="s">
        <v>165</v>
      </c>
      <c r="H27" s="145"/>
    </row>
    <row r="28" spans="1:8" ht="44.25" customHeight="1" x14ac:dyDescent="0.25">
      <c r="A28" s="141">
        <f t="shared" ref="A28" si="2">A27 + 1</f>
        <v>16</v>
      </c>
      <c r="B28" s="146" t="s">
        <v>166</v>
      </c>
      <c r="C28" s="142" t="s">
        <v>29</v>
      </c>
      <c r="D28" s="303" t="s">
        <v>149</v>
      </c>
      <c r="E28" s="303"/>
      <c r="F28" s="145"/>
      <c r="G28" s="142" t="s">
        <v>29</v>
      </c>
      <c r="H28" s="145"/>
    </row>
    <row r="29" spans="1:8" ht="15.75" customHeight="1" x14ac:dyDescent="0.25">
      <c r="A29" s="145">
        <v>17</v>
      </c>
      <c r="B29" s="142" t="s">
        <v>161</v>
      </c>
      <c r="C29" s="145" t="s">
        <v>167</v>
      </c>
      <c r="D29" s="303" t="s">
        <v>149</v>
      </c>
      <c r="E29" s="303"/>
      <c r="F29" s="145"/>
      <c r="G29" s="147" t="s">
        <v>167</v>
      </c>
      <c r="H29" s="145"/>
    </row>
    <row r="30" spans="1:8" ht="15.75" customHeight="1" x14ac:dyDescent="0.25">
      <c r="C30" s="14"/>
    </row>
    <row r="31" spans="1:8" ht="15.75" customHeight="1" x14ac:dyDescent="0.25">
      <c r="C31" s="14"/>
    </row>
    <row r="32" spans="1:8" ht="15.75" customHeight="1" x14ac:dyDescent="0.25">
      <c r="C32" s="14"/>
    </row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mergeCells count="6">
    <mergeCell ref="A6:B8"/>
    <mergeCell ref="A2:A3"/>
    <mergeCell ref="B2:B3"/>
    <mergeCell ref="C2:C3"/>
    <mergeCell ref="D4:F4"/>
    <mergeCell ref="A4:B4"/>
  </mergeCells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Views>
    <sheetView zoomScaleNormal="100" workbookViewId="0">
      <selection activeCell="E10" sqref="E10"/>
    </sheetView>
  </sheetViews>
  <sheetFormatPr defaultRowHeight="15" x14ac:dyDescent="0.25"/>
  <cols>
    <col min="2" max="2" width="23.85546875" customWidth="1"/>
    <col min="3" max="3" width="34.140625" customWidth="1"/>
    <col min="4" max="5" width="7.7109375" customWidth="1"/>
    <col min="6" max="6" width="7.140625" customWidth="1"/>
    <col min="7" max="7" width="28.28515625" customWidth="1"/>
    <col min="8" max="8" width="14.42578125" customWidth="1"/>
  </cols>
  <sheetData>
    <row r="1" spans="1:8" ht="15.75" x14ac:dyDescent="0.25">
      <c r="A1" s="156" t="s">
        <v>8</v>
      </c>
      <c r="B1" s="157"/>
      <c r="C1" s="158" t="s">
        <v>114</v>
      </c>
      <c r="D1" s="157" t="s">
        <v>9</v>
      </c>
      <c r="E1" s="157"/>
      <c r="F1" s="157"/>
      <c r="G1" s="167" t="s">
        <v>36</v>
      </c>
      <c r="H1" s="170"/>
    </row>
    <row r="2" spans="1:8" ht="15.75" x14ac:dyDescent="0.25">
      <c r="A2" s="161" t="s">
        <v>10</v>
      </c>
      <c r="B2" s="148"/>
      <c r="C2" s="149" t="s">
        <v>168</v>
      </c>
      <c r="D2" s="155" t="s">
        <v>11</v>
      </c>
      <c r="E2" s="155"/>
      <c r="F2" s="155"/>
      <c r="G2" s="168" t="s">
        <v>35</v>
      </c>
      <c r="H2" s="171"/>
    </row>
    <row r="3" spans="1:8" ht="15.75" x14ac:dyDescent="0.25">
      <c r="A3" s="161"/>
      <c r="B3" s="148"/>
      <c r="C3" s="151"/>
      <c r="D3" s="155" t="s">
        <v>12</v>
      </c>
      <c r="E3" s="155"/>
      <c r="F3" s="155"/>
      <c r="G3" s="169"/>
      <c r="H3" s="171"/>
    </row>
    <row r="4" spans="1:8" ht="16.5" thickBot="1" x14ac:dyDescent="0.3">
      <c r="A4" s="163" t="s">
        <v>13</v>
      </c>
      <c r="B4" s="164"/>
      <c r="C4" s="165" t="s">
        <v>86</v>
      </c>
      <c r="D4" s="164" t="s">
        <v>14</v>
      </c>
      <c r="E4" s="164"/>
      <c r="F4" s="164"/>
      <c r="G4" s="210">
        <v>45795</v>
      </c>
      <c r="H4" s="172"/>
    </row>
    <row r="5" spans="1:8" ht="15.75" thickBot="1" x14ac:dyDescent="0.3">
      <c r="A5" s="16"/>
      <c r="B5" s="17"/>
      <c r="C5" s="17"/>
      <c r="D5" s="18"/>
      <c r="E5" s="18"/>
      <c r="F5" s="18"/>
      <c r="G5" s="17"/>
      <c r="H5" s="17"/>
    </row>
    <row r="6" spans="1:8" ht="15.75" x14ac:dyDescent="0.25">
      <c r="A6" s="182" t="s">
        <v>15</v>
      </c>
      <c r="B6" s="183"/>
      <c r="C6" s="118" t="s">
        <v>143</v>
      </c>
      <c r="D6" s="173"/>
      <c r="E6" s="174"/>
      <c r="F6" s="174"/>
      <c r="G6" s="174"/>
      <c r="H6" s="175"/>
    </row>
    <row r="7" spans="1:8" ht="33" customHeight="1" x14ac:dyDescent="0.25">
      <c r="A7" s="184"/>
      <c r="B7" s="185"/>
      <c r="C7" s="186" t="s">
        <v>169</v>
      </c>
      <c r="D7" s="176"/>
      <c r="E7" s="177"/>
      <c r="F7" s="177"/>
      <c r="G7" s="177"/>
      <c r="H7" s="178"/>
    </row>
    <row r="8" spans="1:8" ht="16.5" thickBot="1" x14ac:dyDescent="0.3">
      <c r="A8" s="187"/>
      <c r="B8" s="188"/>
      <c r="C8" s="189" t="s">
        <v>170</v>
      </c>
      <c r="D8" s="179"/>
      <c r="E8" s="180"/>
      <c r="F8" s="180"/>
      <c r="G8" s="180"/>
      <c r="H8" s="181"/>
    </row>
    <row r="9" spans="1:8" x14ac:dyDescent="0.25">
      <c r="A9" s="16"/>
      <c r="B9" s="17"/>
      <c r="C9" s="19"/>
      <c r="D9" s="18"/>
      <c r="E9" s="20"/>
      <c r="F9" s="20"/>
      <c r="G9" s="20"/>
      <c r="H9" s="17"/>
    </row>
    <row r="10" spans="1:8" ht="15.75" thickBot="1" x14ac:dyDescent="0.3">
      <c r="A10" s="16"/>
      <c r="B10" s="17"/>
      <c r="C10" s="17"/>
      <c r="D10" s="18"/>
      <c r="E10" s="18"/>
      <c r="F10" s="18"/>
      <c r="G10" s="17"/>
      <c r="H10" s="17"/>
    </row>
    <row r="11" spans="1:8" ht="16.5" thickBot="1" x14ac:dyDescent="0.3">
      <c r="A11" s="304">
        <v>8</v>
      </c>
      <c r="B11" s="305" t="s">
        <v>16</v>
      </c>
      <c r="C11" s="306" t="s">
        <v>17</v>
      </c>
      <c r="D11" s="307">
        <v>5</v>
      </c>
      <c r="E11" s="307">
        <v>3</v>
      </c>
      <c r="F11" s="307">
        <v>0</v>
      </c>
      <c r="G11" s="308" t="s">
        <v>18</v>
      </c>
      <c r="H11" s="309">
        <v>1</v>
      </c>
    </row>
    <row r="12" spans="1:8" ht="16.5" thickBot="1" x14ac:dyDescent="0.3">
      <c r="A12" s="310" t="s">
        <v>19</v>
      </c>
      <c r="B12" s="305" t="s">
        <v>20</v>
      </c>
      <c r="C12" s="311" t="s">
        <v>21</v>
      </c>
      <c r="D12" s="307" t="s">
        <v>22</v>
      </c>
      <c r="E12" s="307" t="s">
        <v>23</v>
      </c>
      <c r="F12" s="307" t="s">
        <v>24</v>
      </c>
      <c r="G12" s="312" t="s">
        <v>25</v>
      </c>
      <c r="H12" s="313" t="s">
        <v>26</v>
      </c>
    </row>
    <row r="13" spans="1:8" ht="79.900000000000006" customHeight="1" x14ac:dyDescent="0.25">
      <c r="A13" s="190">
        <v>1</v>
      </c>
      <c r="B13" s="191" t="s">
        <v>171</v>
      </c>
      <c r="C13" s="192" t="s">
        <v>172</v>
      </c>
      <c r="D13" s="193" t="s">
        <v>27</v>
      </c>
      <c r="E13" s="194"/>
      <c r="F13" s="194"/>
      <c r="G13" s="192" t="s">
        <v>172</v>
      </c>
      <c r="H13" s="195"/>
    </row>
    <row r="14" spans="1:8" ht="80.45" customHeight="1" x14ac:dyDescent="0.25">
      <c r="A14" s="196">
        <v>2</v>
      </c>
      <c r="B14" s="191" t="s">
        <v>173</v>
      </c>
      <c r="C14" s="192" t="s">
        <v>174</v>
      </c>
      <c r="D14" s="193" t="s">
        <v>149</v>
      </c>
      <c r="E14" s="197"/>
      <c r="F14" s="197"/>
      <c r="G14" s="192" t="s">
        <v>174</v>
      </c>
      <c r="H14" s="198"/>
    </row>
    <row r="15" spans="1:8" ht="70.900000000000006" customHeight="1" x14ac:dyDescent="0.25">
      <c r="A15" s="196">
        <v>3</v>
      </c>
      <c r="B15" s="191" t="s">
        <v>175</v>
      </c>
      <c r="C15" s="192" t="s">
        <v>172</v>
      </c>
      <c r="D15" s="199" t="s">
        <v>27</v>
      </c>
      <c r="E15" s="200"/>
      <c r="F15" s="200"/>
      <c r="G15" s="192" t="s">
        <v>172</v>
      </c>
      <c r="H15" s="201"/>
    </row>
    <row r="16" spans="1:8" ht="78.599999999999994" customHeight="1" x14ac:dyDescent="0.25">
      <c r="A16" s="202">
        <v>4</v>
      </c>
      <c r="B16" s="191" t="s">
        <v>173</v>
      </c>
      <c r="C16" s="203" t="s">
        <v>187</v>
      </c>
      <c r="D16" s="204" t="s">
        <v>149</v>
      </c>
      <c r="E16" s="205"/>
      <c r="F16" s="205"/>
      <c r="G16" s="203" t="s">
        <v>187</v>
      </c>
      <c r="H16" s="205"/>
    </row>
    <row r="17" spans="1:8" ht="78.599999999999994" customHeight="1" x14ac:dyDescent="0.25">
      <c r="A17" s="202">
        <v>5</v>
      </c>
      <c r="B17" s="191" t="s">
        <v>176</v>
      </c>
      <c r="C17" s="192" t="s">
        <v>172</v>
      </c>
      <c r="D17" s="206" t="s">
        <v>27</v>
      </c>
      <c r="E17" s="205"/>
      <c r="F17" s="205"/>
      <c r="G17" s="192" t="s">
        <v>172</v>
      </c>
      <c r="H17" s="205"/>
    </row>
    <row r="18" spans="1:8" ht="66" customHeight="1" x14ac:dyDescent="0.25">
      <c r="A18" s="196">
        <v>6</v>
      </c>
      <c r="B18" s="191" t="s">
        <v>173</v>
      </c>
      <c r="C18" s="203" t="s">
        <v>187</v>
      </c>
      <c r="D18" s="204" t="s">
        <v>149</v>
      </c>
      <c r="E18" s="205"/>
      <c r="F18" s="205"/>
      <c r="G18" s="203" t="s">
        <v>187</v>
      </c>
      <c r="H18" s="205"/>
    </row>
    <row r="19" spans="1:8" ht="120.6" customHeight="1" x14ac:dyDescent="0.25">
      <c r="A19" s="196">
        <v>7</v>
      </c>
      <c r="B19" s="191" t="s">
        <v>177</v>
      </c>
      <c r="C19" s="192" t="s">
        <v>172</v>
      </c>
      <c r="D19" s="204" t="s">
        <v>27</v>
      </c>
      <c r="E19" s="205"/>
      <c r="F19" s="205"/>
      <c r="G19" s="192" t="s">
        <v>172</v>
      </c>
      <c r="H19" s="205"/>
    </row>
    <row r="20" spans="1:8" ht="47.25" x14ac:dyDescent="0.25">
      <c r="A20" s="196">
        <v>8</v>
      </c>
      <c r="B20" s="191" t="s">
        <v>173</v>
      </c>
      <c r="C20" s="203" t="s">
        <v>178</v>
      </c>
      <c r="D20" s="204" t="s">
        <v>27</v>
      </c>
      <c r="E20" s="205"/>
      <c r="F20" s="205"/>
      <c r="G20" s="203" t="s">
        <v>179</v>
      </c>
      <c r="H20" s="205"/>
    </row>
  </sheetData>
  <mergeCells count="9">
    <mergeCell ref="A1:B1"/>
    <mergeCell ref="A4:B4"/>
    <mergeCell ref="A2:B3"/>
    <mergeCell ref="D1:F1"/>
    <mergeCell ref="D2:F2"/>
    <mergeCell ref="D3:F3"/>
    <mergeCell ref="D4:F4"/>
    <mergeCell ref="C2:C3"/>
    <mergeCell ref="A6:B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abSelected="1" zoomScale="94" zoomScaleNormal="55" workbookViewId="0">
      <selection activeCell="K6" sqref="K6"/>
    </sheetView>
  </sheetViews>
  <sheetFormatPr defaultRowHeight="15" x14ac:dyDescent="0.25"/>
  <cols>
    <col min="2" max="2" width="20.7109375" customWidth="1"/>
    <col min="3" max="3" width="28" customWidth="1"/>
    <col min="7" max="7" width="28.7109375" customWidth="1"/>
    <col min="8" max="8" width="14" customWidth="1"/>
  </cols>
  <sheetData>
    <row r="1" spans="1:8" ht="32.450000000000003" customHeight="1" x14ac:dyDescent="0.25">
      <c r="A1" s="182" t="s">
        <v>8</v>
      </c>
      <c r="B1" s="183"/>
      <c r="C1" s="218" t="s">
        <v>69</v>
      </c>
      <c r="D1" s="211" t="s">
        <v>9</v>
      </c>
      <c r="E1" s="212"/>
      <c r="F1" s="213"/>
      <c r="G1" s="159" t="s">
        <v>38</v>
      </c>
      <c r="H1" s="160"/>
    </row>
    <row r="2" spans="1:8" ht="15.75" x14ac:dyDescent="0.25">
      <c r="A2" s="184" t="s">
        <v>10</v>
      </c>
      <c r="B2" s="185"/>
      <c r="C2" s="219" t="s">
        <v>180</v>
      </c>
      <c r="D2" s="152" t="s">
        <v>11</v>
      </c>
      <c r="E2" s="153"/>
      <c r="F2" s="154"/>
      <c r="G2" s="150" t="s">
        <v>35</v>
      </c>
      <c r="H2" s="162"/>
    </row>
    <row r="3" spans="1:8" ht="48" customHeight="1" x14ac:dyDescent="0.25">
      <c r="A3" s="184"/>
      <c r="B3" s="185"/>
      <c r="C3" s="220"/>
      <c r="D3" s="207" t="s">
        <v>12</v>
      </c>
      <c r="E3" s="208"/>
      <c r="F3" s="209"/>
      <c r="G3" s="239">
        <v>2</v>
      </c>
      <c r="H3" s="162"/>
    </row>
    <row r="4" spans="1:8" ht="16.5" thickBot="1" x14ac:dyDescent="0.3">
      <c r="A4" s="163" t="s">
        <v>13</v>
      </c>
      <c r="B4" s="164"/>
      <c r="C4" s="221" t="s">
        <v>88</v>
      </c>
      <c r="D4" s="214" t="s">
        <v>14</v>
      </c>
      <c r="E4" s="215"/>
      <c r="F4" s="216"/>
      <c r="G4" s="217">
        <v>45795</v>
      </c>
      <c r="H4" s="166"/>
    </row>
    <row r="5" spans="1:8" ht="15.75" thickBot="1" x14ac:dyDescent="0.3">
      <c r="A5" s="16"/>
      <c r="B5" s="17"/>
      <c r="C5" s="17"/>
      <c r="D5" s="18"/>
      <c r="E5" s="18"/>
      <c r="F5" s="18"/>
      <c r="G5" s="17"/>
      <c r="H5" s="17"/>
    </row>
    <row r="6" spans="1:8" ht="15.75" x14ac:dyDescent="0.25">
      <c r="A6" s="230" t="s">
        <v>15</v>
      </c>
      <c r="B6" s="231"/>
      <c r="C6" s="118" t="s">
        <v>143</v>
      </c>
      <c r="D6" s="223"/>
      <c r="E6" s="224"/>
      <c r="F6" s="224"/>
      <c r="G6" s="224"/>
      <c r="H6" s="225"/>
    </row>
    <row r="7" spans="1:8" ht="39" customHeight="1" thickBot="1" x14ac:dyDescent="0.3">
      <c r="A7" s="232"/>
      <c r="B7" s="233"/>
      <c r="C7" s="226" t="s">
        <v>169</v>
      </c>
      <c r="D7" s="227"/>
      <c r="E7" s="228"/>
      <c r="F7" s="228"/>
      <c r="G7" s="228"/>
      <c r="H7" s="229"/>
    </row>
    <row r="8" spans="1:8" x14ac:dyDescent="0.25">
      <c r="A8" s="16"/>
      <c r="B8" s="17"/>
      <c r="C8" s="17"/>
      <c r="D8" s="18"/>
      <c r="E8" s="20"/>
      <c r="F8" s="20"/>
      <c r="G8" s="20"/>
      <c r="H8" s="17"/>
    </row>
    <row r="9" spans="1:8" x14ac:dyDescent="0.25">
      <c r="A9" s="16"/>
      <c r="B9" s="17"/>
      <c r="C9" s="19"/>
      <c r="D9" s="18"/>
      <c r="E9" s="20"/>
      <c r="F9" s="20"/>
      <c r="G9" s="20"/>
      <c r="H9" s="17"/>
    </row>
    <row r="10" spans="1:8" ht="15.75" thickBot="1" x14ac:dyDescent="0.3">
      <c r="A10" s="16"/>
      <c r="B10" s="17"/>
      <c r="C10" s="17"/>
      <c r="D10" s="18"/>
      <c r="E10" s="18"/>
      <c r="F10" s="18"/>
      <c r="G10" s="17"/>
      <c r="H10" s="17"/>
    </row>
    <row r="11" spans="1:8" ht="16.5" thickBot="1" x14ac:dyDescent="0.3">
      <c r="A11" s="314">
        <v>6</v>
      </c>
      <c r="B11" s="305" t="s">
        <v>16</v>
      </c>
      <c r="C11" s="306" t="s">
        <v>17</v>
      </c>
      <c r="D11" s="307">
        <v>5</v>
      </c>
      <c r="E11" s="307">
        <v>1</v>
      </c>
      <c r="F11" s="307">
        <v>0</v>
      </c>
      <c r="G11" s="308" t="s">
        <v>18</v>
      </c>
      <c r="H11" s="309">
        <v>1</v>
      </c>
    </row>
    <row r="12" spans="1:8" ht="15.75" x14ac:dyDescent="0.25">
      <c r="A12" s="315" t="s">
        <v>19</v>
      </c>
      <c r="B12" s="316" t="s">
        <v>20</v>
      </c>
      <c r="C12" s="316" t="s">
        <v>21</v>
      </c>
      <c r="D12" s="317" t="s">
        <v>22</v>
      </c>
      <c r="E12" s="317" t="s">
        <v>23</v>
      </c>
      <c r="F12" s="317" t="s">
        <v>24</v>
      </c>
      <c r="G12" s="318" t="s">
        <v>25</v>
      </c>
      <c r="H12" s="319" t="s">
        <v>26</v>
      </c>
    </row>
    <row r="13" spans="1:8" ht="59.45" customHeight="1" x14ac:dyDescent="0.25">
      <c r="A13" s="234">
        <v>1</v>
      </c>
      <c r="B13" s="235" t="s">
        <v>181</v>
      </c>
      <c r="C13" s="235" t="s">
        <v>182</v>
      </c>
      <c r="D13" s="236" t="s">
        <v>33</v>
      </c>
      <c r="E13" s="235"/>
      <c r="F13" s="237"/>
      <c r="G13" s="235" t="s">
        <v>182</v>
      </c>
      <c r="H13" s="235"/>
    </row>
    <row r="14" spans="1:8" ht="31.5" x14ac:dyDescent="0.25">
      <c r="A14" s="234">
        <v>2</v>
      </c>
      <c r="B14" s="235" t="s">
        <v>183</v>
      </c>
      <c r="C14" s="235" t="s">
        <v>172</v>
      </c>
      <c r="D14" s="236" t="s">
        <v>33</v>
      </c>
      <c r="E14" s="235"/>
      <c r="F14" s="237"/>
      <c r="G14" s="235" t="s">
        <v>172</v>
      </c>
      <c r="H14" s="235"/>
    </row>
    <row r="15" spans="1:8" ht="91.15" customHeight="1" x14ac:dyDescent="0.25">
      <c r="A15" s="234">
        <v>3</v>
      </c>
      <c r="B15" s="235" t="s">
        <v>184</v>
      </c>
      <c r="C15" s="235" t="s">
        <v>185</v>
      </c>
      <c r="D15" s="236" t="s">
        <v>33</v>
      </c>
      <c r="E15" s="235"/>
      <c r="F15" s="237"/>
      <c r="G15" s="235" t="s">
        <v>185</v>
      </c>
      <c r="H15" s="235"/>
    </row>
    <row r="16" spans="1:8" ht="76.150000000000006" customHeight="1" x14ac:dyDescent="0.25">
      <c r="A16" s="234">
        <v>4</v>
      </c>
      <c r="B16" s="235" t="s">
        <v>186</v>
      </c>
      <c r="C16" s="235" t="s">
        <v>172</v>
      </c>
      <c r="D16" s="236" t="s">
        <v>33</v>
      </c>
      <c r="E16" s="235"/>
      <c r="F16" s="237"/>
      <c r="G16" s="235" t="s">
        <v>172</v>
      </c>
      <c r="H16" s="235"/>
    </row>
    <row r="17" spans="1:8" ht="42.6" customHeight="1" x14ac:dyDescent="0.25">
      <c r="A17" s="234">
        <v>5</v>
      </c>
      <c r="B17" s="235" t="s">
        <v>184</v>
      </c>
      <c r="C17" s="235" t="s">
        <v>187</v>
      </c>
      <c r="D17" s="236" t="s">
        <v>33</v>
      </c>
      <c r="E17" s="235"/>
      <c r="F17" s="237"/>
      <c r="G17" s="235" t="s">
        <v>187</v>
      </c>
      <c r="H17" s="235"/>
    </row>
    <row r="18" spans="1:8" ht="144" customHeight="1" x14ac:dyDescent="0.25">
      <c r="A18" s="196">
        <v>6</v>
      </c>
      <c r="B18" s="235" t="s">
        <v>188</v>
      </c>
      <c r="C18" s="238" t="s">
        <v>190</v>
      </c>
      <c r="D18" s="205"/>
      <c r="E18" s="204" t="s">
        <v>213</v>
      </c>
      <c r="F18" s="205"/>
      <c r="G18" s="238" t="s">
        <v>189</v>
      </c>
      <c r="H18" s="202">
        <v>2</v>
      </c>
    </row>
  </sheetData>
  <mergeCells count="9">
    <mergeCell ref="D4:F4"/>
    <mergeCell ref="A1:B1"/>
    <mergeCell ref="A2:B3"/>
    <mergeCell ref="A4:B4"/>
    <mergeCell ref="A6:B7"/>
    <mergeCell ref="C2:C3"/>
    <mergeCell ref="D1:F1"/>
    <mergeCell ref="D2:F2"/>
    <mergeCell ref="D3:F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zoomScale="90" zoomScaleNormal="90" workbookViewId="0">
      <selection activeCell="H15" sqref="H15"/>
    </sheetView>
  </sheetViews>
  <sheetFormatPr defaultRowHeight="15" x14ac:dyDescent="0.25"/>
  <cols>
    <col min="2" max="2" width="19.5703125" customWidth="1"/>
    <col min="3" max="3" width="28" customWidth="1"/>
    <col min="7" max="7" width="26.7109375" customWidth="1"/>
    <col min="8" max="8" width="13.140625" customWidth="1"/>
  </cols>
  <sheetData>
    <row r="1" spans="1:8" ht="15.75" x14ac:dyDescent="0.25">
      <c r="A1" s="243" t="s">
        <v>8</v>
      </c>
      <c r="B1" s="244"/>
      <c r="C1" s="245" t="s">
        <v>191</v>
      </c>
      <c r="D1" s="246" t="s">
        <v>9</v>
      </c>
      <c r="E1" s="246"/>
      <c r="F1" s="246"/>
      <c r="G1" s="252" t="s">
        <v>39</v>
      </c>
      <c r="H1" s="255"/>
    </row>
    <row r="2" spans="1:8" ht="15.75" x14ac:dyDescent="0.25">
      <c r="A2" s="247" t="s">
        <v>10</v>
      </c>
      <c r="B2" s="241"/>
      <c r="C2" s="242" t="s">
        <v>192</v>
      </c>
      <c r="D2" s="240" t="s">
        <v>11</v>
      </c>
      <c r="E2" s="240"/>
      <c r="F2" s="240"/>
      <c r="G2" s="253" t="s">
        <v>35</v>
      </c>
      <c r="H2" s="256"/>
    </row>
    <row r="3" spans="1:8" ht="15.75" x14ac:dyDescent="0.25">
      <c r="A3" s="247"/>
      <c r="B3" s="241"/>
      <c r="C3" s="242"/>
      <c r="D3" s="240" t="s">
        <v>12</v>
      </c>
      <c r="E3" s="240"/>
      <c r="F3" s="240"/>
      <c r="G3" s="320">
        <v>3</v>
      </c>
      <c r="H3" s="256"/>
    </row>
    <row r="4" spans="1:8" ht="16.5" thickBot="1" x14ac:dyDescent="0.3">
      <c r="A4" s="248" t="s">
        <v>13</v>
      </c>
      <c r="B4" s="249"/>
      <c r="C4" s="250" t="s">
        <v>85</v>
      </c>
      <c r="D4" s="251" t="s">
        <v>14</v>
      </c>
      <c r="E4" s="251"/>
      <c r="F4" s="251"/>
      <c r="G4" s="254">
        <v>45795</v>
      </c>
      <c r="H4" s="257"/>
    </row>
    <row r="5" spans="1:8" ht="15.75" thickBot="1" x14ac:dyDescent="0.3">
      <c r="A5" s="22"/>
      <c r="B5" s="23"/>
      <c r="C5" s="23"/>
      <c r="D5" s="24"/>
      <c r="E5" s="24"/>
      <c r="F5" s="24"/>
      <c r="G5" s="23"/>
      <c r="H5" s="23"/>
    </row>
    <row r="6" spans="1:8" ht="15.75" x14ac:dyDescent="0.25">
      <c r="A6" s="259" t="s">
        <v>15</v>
      </c>
      <c r="B6" s="260"/>
      <c r="C6" s="118" t="s">
        <v>143</v>
      </c>
      <c r="D6" s="223"/>
      <c r="E6" s="261"/>
      <c r="F6" s="261"/>
      <c r="G6" s="261"/>
      <c r="H6" s="262"/>
    </row>
    <row r="7" spans="1:8" ht="17.45" customHeight="1" x14ac:dyDescent="0.25">
      <c r="A7" s="263"/>
      <c r="B7" s="258"/>
      <c r="C7" s="186" t="s">
        <v>193</v>
      </c>
      <c r="D7" s="222"/>
      <c r="E7" s="264"/>
      <c r="F7" s="264"/>
      <c r="G7" s="264"/>
      <c r="H7" s="265"/>
    </row>
    <row r="8" spans="1:8" ht="16.5" thickBot="1" x14ac:dyDescent="0.3">
      <c r="A8" s="266"/>
      <c r="B8" s="267"/>
      <c r="C8" s="268" t="s">
        <v>197</v>
      </c>
      <c r="D8" s="269"/>
      <c r="E8" s="270"/>
      <c r="F8" s="270"/>
      <c r="G8" s="270"/>
      <c r="H8" s="271"/>
    </row>
    <row r="9" spans="1:8" x14ac:dyDescent="0.25">
      <c r="A9" s="22"/>
      <c r="B9" s="23"/>
      <c r="C9" s="25"/>
      <c r="D9" s="24"/>
      <c r="E9" s="21"/>
      <c r="F9" s="21"/>
      <c r="G9" s="21"/>
      <c r="H9" s="23"/>
    </row>
    <row r="10" spans="1:8" ht="15.75" thickBot="1" x14ac:dyDescent="0.3">
      <c r="A10" s="22"/>
      <c r="B10" s="23"/>
      <c r="C10" s="23"/>
      <c r="D10" s="24"/>
      <c r="E10" s="24"/>
      <c r="F10" s="24"/>
      <c r="G10" s="23"/>
      <c r="H10" s="23"/>
    </row>
    <row r="11" spans="1:8" ht="16.5" thickBot="1" x14ac:dyDescent="0.3">
      <c r="A11" s="272">
        <v>4</v>
      </c>
      <c r="B11" s="273" t="s">
        <v>16</v>
      </c>
      <c r="C11" s="274" t="s">
        <v>17</v>
      </c>
      <c r="D11" s="275">
        <v>3</v>
      </c>
      <c r="E11" s="275">
        <v>1</v>
      </c>
      <c r="F11" s="275">
        <v>0</v>
      </c>
      <c r="G11" s="276" t="s">
        <v>18</v>
      </c>
      <c r="H11" s="277">
        <v>1</v>
      </c>
    </row>
    <row r="12" spans="1:8" ht="16.5" thickBot="1" x14ac:dyDescent="0.3">
      <c r="A12" s="278" t="s">
        <v>19</v>
      </c>
      <c r="B12" s="279" t="s">
        <v>20</v>
      </c>
      <c r="C12" s="279" t="s">
        <v>21</v>
      </c>
      <c r="D12" s="275" t="s">
        <v>22</v>
      </c>
      <c r="E12" s="275" t="s">
        <v>23</v>
      </c>
      <c r="F12" s="275" t="s">
        <v>24</v>
      </c>
      <c r="G12" s="280" t="s">
        <v>25</v>
      </c>
      <c r="H12" s="281" t="s">
        <v>26</v>
      </c>
    </row>
    <row r="13" spans="1:8" ht="72.75" customHeight="1" x14ac:dyDescent="0.25">
      <c r="A13" s="297">
        <v>1</v>
      </c>
      <c r="B13" s="282" t="s">
        <v>194</v>
      </c>
      <c r="C13" s="282" t="s">
        <v>195</v>
      </c>
      <c r="D13" s="292" t="s">
        <v>27</v>
      </c>
      <c r="E13" s="292"/>
      <c r="F13" s="283"/>
      <c r="G13" s="282" t="s">
        <v>195</v>
      </c>
      <c r="H13" s="284"/>
    </row>
    <row r="14" spans="1:8" ht="147.75" customHeight="1" x14ac:dyDescent="0.25">
      <c r="A14" s="298">
        <v>2</v>
      </c>
      <c r="B14" s="282" t="s">
        <v>196</v>
      </c>
      <c r="C14" s="282" t="s">
        <v>198</v>
      </c>
      <c r="D14" s="292" t="s">
        <v>27</v>
      </c>
      <c r="E14" s="293"/>
      <c r="F14" s="285"/>
      <c r="G14" s="282" t="s">
        <v>198</v>
      </c>
      <c r="H14" s="286"/>
    </row>
    <row r="15" spans="1:8" ht="116.25" customHeight="1" x14ac:dyDescent="0.25">
      <c r="A15" s="299">
        <v>3</v>
      </c>
      <c r="B15" s="287" t="s">
        <v>200</v>
      </c>
      <c r="C15" s="287" t="s">
        <v>199</v>
      </c>
      <c r="D15" s="294"/>
      <c r="E15" s="295" t="s">
        <v>149</v>
      </c>
      <c r="F15" s="288"/>
      <c r="G15" s="287" t="s">
        <v>201</v>
      </c>
      <c r="H15" s="289">
        <v>3</v>
      </c>
    </row>
    <row r="16" spans="1:8" ht="108" customHeight="1" x14ac:dyDescent="0.25">
      <c r="A16" s="300">
        <v>4</v>
      </c>
      <c r="B16" s="290" t="s">
        <v>202</v>
      </c>
      <c r="C16" s="290" t="s">
        <v>204</v>
      </c>
      <c r="D16" s="296" t="s">
        <v>27</v>
      </c>
      <c r="E16" s="296"/>
      <c r="F16" s="291"/>
      <c r="G16" s="290" t="s">
        <v>203</v>
      </c>
      <c r="H16" s="291"/>
    </row>
    <row r="17" spans="1:8" ht="76.900000000000006" customHeight="1" x14ac:dyDescent="0.25">
      <c r="A17" s="70"/>
      <c r="B17" s="71"/>
      <c r="C17" s="71"/>
      <c r="D17" s="72"/>
      <c r="E17" s="72"/>
      <c r="F17" s="72"/>
      <c r="G17" s="71"/>
      <c r="H17" s="72"/>
    </row>
    <row r="18" spans="1:8" ht="66.599999999999994" customHeight="1" x14ac:dyDescent="0.25">
      <c r="A18" s="70"/>
      <c r="B18" s="71"/>
      <c r="C18" s="71"/>
      <c r="D18" s="72"/>
      <c r="E18" s="72"/>
      <c r="F18" s="72"/>
      <c r="G18" s="71"/>
      <c r="H18" s="72"/>
    </row>
  </sheetData>
  <mergeCells count="9">
    <mergeCell ref="A6:B8"/>
    <mergeCell ref="A4:B4"/>
    <mergeCell ref="D1:F1"/>
    <mergeCell ref="D2:F2"/>
    <mergeCell ref="D3:F3"/>
    <mergeCell ref="D4:F4"/>
    <mergeCell ref="C2:C3"/>
    <mergeCell ref="A1:B1"/>
    <mergeCell ref="A2:B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Тест-план</vt:lpstr>
      <vt:lpstr>Чек-лист</vt:lpstr>
      <vt:lpstr>Дефект</vt:lpstr>
      <vt:lpstr>Тест-кейс 1</vt:lpstr>
      <vt:lpstr>Тест-кейс 2</vt:lpstr>
      <vt:lpstr>Тест-кейс 3</vt:lpstr>
      <vt:lpstr>Тест-кейс 4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Пользователь Windows</cp:lastModifiedBy>
  <dcterms:created xsi:type="dcterms:W3CDTF">2006-09-28T05:33:49Z</dcterms:created>
  <dcterms:modified xsi:type="dcterms:W3CDTF">2025-05-19T15:02:20Z</dcterms:modified>
</cp:coreProperties>
</file>